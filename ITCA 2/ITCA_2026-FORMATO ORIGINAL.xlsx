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AUDE\ITCA 2\"/>
    </mc:Choice>
  </mc:AlternateContent>
  <xr:revisionPtr revIDLastSave="0" documentId="13_ncr:1_{6F4AB3F7-EC1D-4375-9D52-142C8222D17E}" xr6:coauthVersionLast="47" xr6:coauthVersionMax="47" xr10:uidLastSave="{00000000-0000-0000-0000-000000000000}"/>
  <bookViews>
    <workbookView xWindow="11565" yWindow="990" windowWidth="17115" windowHeight="14505" activeTab="1" xr2:uid="{00000000-000D-0000-FFFF-FFFF00000000}"/>
  </bookViews>
  <sheets>
    <sheet name="ITCA I" sheetId="14" r:id="rId1"/>
    <sheet name="ITCA II" sheetId="17" r:id="rId2"/>
    <sheet name="ITCA III" sheetId="18" r:id="rId3"/>
    <sheet name="ITCA IV" sheetId="19" r:id="rId4"/>
    <sheet name="IAS" sheetId="5" state="hidden" r:id="rId5"/>
    <sheet name="DESEMPEÑO" sheetId="10" state="hidden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17" l="1"/>
  <c r="K9" i="17"/>
  <c r="L9" i="14"/>
  <c r="K9" i="14"/>
  <c r="H67" i="19"/>
  <c r="I67" i="19" s="1"/>
  <c r="H60" i="19"/>
  <c r="I60" i="19" s="1"/>
  <c r="H55" i="19"/>
  <c r="I55" i="19" s="1"/>
  <c r="H48" i="19"/>
  <c r="I48" i="19" s="1"/>
  <c r="H43" i="19"/>
  <c r="I43" i="19" s="1"/>
  <c r="H42" i="19"/>
  <c r="I42" i="19" s="1"/>
  <c r="H35" i="19"/>
  <c r="I35" i="19" s="1"/>
  <c r="H34" i="19"/>
  <c r="I34" i="19" s="1"/>
  <c r="H33" i="19"/>
  <c r="I33" i="19" s="1"/>
  <c r="H32" i="19"/>
  <c r="I32" i="19" s="1"/>
  <c r="H31" i="19"/>
  <c r="I31" i="19" s="1"/>
  <c r="H30" i="19"/>
  <c r="I30" i="19" s="1"/>
  <c r="H29" i="19"/>
  <c r="I29" i="19" s="1"/>
  <c r="H28" i="19"/>
  <c r="I28" i="19" s="1"/>
  <c r="H27" i="19"/>
  <c r="I27" i="19" s="1"/>
  <c r="H26" i="19"/>
  <c r="I26" i="19" s="1"/>
  <c r="H25" i="19"/>
  <c r="I25" i="19" s="1"/>
  <c r="H24" i="19"/>
  <c r="I24" i="19" s="1"/>
  <c r="H23" i="19"/>
  <c r="I23" i="19" s="1"/>
  <c r="H16" i="19"/>
  <c r="I16" i="19" s="1"/>
  <c r="H11" i="19"/>
  <c r="I11" i="19" s="1"/>
  <c r="H10" i="19"/>
  <c r="I10" i="19" s="1"/>
  <c r="K9" i="19"/>
  <c r="H9" i="19"/>
  <c r="I9" i="19" s="1"/>
  <c r="L9" i="19" s="1"/>
  <c r="H67" i="18"/>
  <c r="I67" i="18" s="1"/>
  <c r="H60" i="18"/>
  <c r="I60" i="18" s="1"/>
  <c r="H55" i="18"/>
  <c r="I55" i="18" s="1"/>
  <c r="H48" i="18"/>
  <c r="I48" i="18" s="1"/>
  <c r="I43" i="18"/>
  <c r="H43" i="18"/>
  <c r="H42" i="18"/>
  <c r="I42" i="18" s="1"/>
  <c r="H35" i="18"/>
  <c r="I35" i="18" s="1"/>
  <c r="H34" i="18"/>
  <c r="I34" i="18" s="1"/>
  <c r="H33" i="18"/>
  <c r="I33" i="18" s="1"/>
  <c r="H32" i="18"/>
  <c r="I32" i="18" s="1"/>
  <c r="H31" i="18"/>
  <c r="I31" i="18" s="1"/>
  <c r="H30" i="18"/>
  <c r="I30" i="18" s="1"/>
  <c r="H29" i="18"/>
  <c r="I29" i="18" s="1"/>
  <c r="H28" i="18"/>
  <c r="I28" i="18" s="1"/>
  <c r="I27" i="18"/>
  <c r="H27" i="18"/>
  <c r="H26" i="18"/>
  <c r="I26" i="18" s="1"/>
  <c r="H25" i="18"/>
  <c r="I25" i="18" s="1"/>
  <c r="H24" i="18"/>
  <c r="I24" i="18" s="1"/>
  <c r="H23" i="18"/>
  <c r="I23" i="18" s="1"/>
  <c r="H16" i="18"/>
  <c r="I16" i="18" s="1"/>
  <c r="H11" i="18"/>
  <c r="I11" i="18" s="1"/>
  <c r="H10" i="18"/>
  <c r="I10" i="18" s="1"/>
  <c r="K9" i="18"/>
  <c r="H9" i="18"/>
  <c r="I9" i="18" s="1"/>
  <c r="H67" i="17"/>
  <c r="H60" i="17"/>
  <c r="H55" i="17"/>
  <c r="I55" i="17" s="1"/>
  <c r="H48" i="17"/>
  <c r="H43" i="17"/>
  <c r="H42" i="17"/>
  <c r="H35" i="17"/>
  <c r="I35" i="17" s="1"/>
  <c r="H34" i="17"/>
  <c r="I34" i="17" s="1"/>
  <c r="H33" i="17"/>
  <c r="I33" i="17" s="1"/>
  <c r="H32" i="17"/>
  <c r="H31" i="17"/>
  <c r="H30" i="17"/>
  <c r="H29" i="17"/>
  <c r="I29" i="17" s="1"/>
  <c r="H28" i="17"/>
  <c r="H27" i="17"/>
  <c r="I27" i="17" s="1"/>
  <c r="H26" i="17"/>
  <c r="H25" i="17"/>
  <c r="H24" i="17"/>
  <c r="I24" i="17" s="1"/>
  <c r="H23" i="17"/>
  <c r="H16" i="17"/>
  <c r="I16" i="17" s="1"/>
  <c r="H11" i="17"/>
  <c r="I11" i="17" s="1"/>
  <c r="H10" i="17"/>
  <c r="I10" i="17" s="1"/>
  <c r="H9" i="17"/>
  <c r="I9" i="17" s="1"/>
  <c r="L9" i="17" s="1"/>
  <c r="H42" i="14"/>
  <c r="I42" i="14" s="1"/>
  <c r="H67" i="14"/>
  <c r="I67" i="14" s="1"/>
  <c r="H60" i="14"/>
  <c r="I60" i="14" s="1"/>
  <c r="H55" i="14"/>
  <c r="I55" i="14" s="1"/>
  <c r="H48" i="14"/>
  <c r="I48" i="14" s="1"/>
  <c r="H43" i="14"/>
  <c r="I43" i="14" s="1"/>
  <c r="H35" i="14"/>
  <c r="I35" i="14" s="1"/>
  <c r="H34" i="14"/>
  <c r="I34" i="14" s="1"/>
  <c r="H33" i="14"/>
  <c r="I33" i="14" s="1"/>
  <c r="H32" i="14"/>
  <c r="I32" i="14" s="1"/>
  <c r="H31" i="14"/>
  <c r="I31" i="14" s="1"/>
  <c r="H30" i="14"/>
  <c r="I30" i="14" s="1"/>
  <c r="H29" i="14"/>
  <c r="I29" i="14" s="1"/>
  <c r="H28" i="14"/>
  <c r="I28" i="14" s="1"/>
  <c r="H27" i="14"/>
  <c r="I27" i="14" s="1"/>
  <c r="H26" i="14"/>
  <c r="I26" i="14" s="1"/>
  <c r="H25" i="14"/>
  <c r="I25" i="14" s="1"/>
  <c r="H24" i="14"/>
  <c r="I24" i="14" s="1"/>
  <c r="H23" i="14"/>
  <c r="I23" i="14" s="1"/>
  <c r="H16" i="14"/>
  <c r="I16" i="14" s="1"/>
  <c r="H11" i="14"/>
  <c r="I11" i="14" s="1"/>
  <c r="H10" i="14"/>
  <c r="I10" i="14" s="1"/>
  <c r="H9" i="14"/>
  <c r="I9" i="14" s="1"/>
  <c r="L9" i="18" l="1"/>
  <c r="I12" i="10" l="1"/>
  <c r="I11" i="10"/>
  <c r="I10" i="10"/>
  <c r="I9" i="10"/>
  <c r="I8" i="10"/>
  <c r="I7" i="10"/>
  <c r="I6" i="10"/>
  <c r="J6" i="10" s="1"/>
  <c r="J10" i="10" l="1"/>
  <c r="K6" i="10" s="1"/>
  <c r="B66" i="5" l="1"/>
  <c r="C66" i="5"/>
  <c r="D66" i="5"/>
  <c r="E66" i="5"/>
  <c r="F66" i="5"/>
  <c r="B67" i="5"/>
  <c r="C67" i="5"/>
  <c r="D67" i="5"/>
  <c r="E67" i="5"/>
  <c r="F67" i="5"/>
  <c r="B68" i="5"/>
  <c r="C68" i="5"/>
  <c r="D68" i="5"/>
  <c r="E68" i="5"/>
  <c r="F68" i="5"/>
  <c r="F65" i="5"/>
  <c r="E65" i="5"/>
  <c r="D65" i="5"/>
  <c r="C65" i="5"/>
  <c r="B65" i="5"/>
  <c r="B58" i="5"/>
  <c r="C58" i="5"/>
  <c r="D58" i="5"/>
  <c r="E58" i="5"/>
  <c r="F58" i="5"/>
  <c r="F57" i="5"/>
  <c r="E57" i="5"/>
  <c r="D57" i="5"/>
  <c r="C57" i="5"/>
  <c r="B57" i="5"/>
  <c r="B52" i="5"/>
  <c r="C52" i="5"/>
  <c r="D52" i="5"/>
  <c r="E52" i="5"/>
  <c r="F52" i="5"/>
  <c r="F51" i="5"/>
  <c r="E51" i="5"/>
  <c r="D51" i="5"/>
  <c r="C51" i="5"/>
  <c r="B51" i="5"/>
  <c r="B44" i="5"/>
  <c r="C44" i="5"/>
  <c r="D44" i="5"/>
  <c r="E44" i="5"/>
  <c r="F44" i="5"/>
  <c r="F43" i="5"/>
  <c r="E43" i="5"/>
  <c r="D43" i="5"/>
  <c r="C43" i="5"/>
  <c r="B43" i="5"/>
  <c r="F36" i="5"/>
  <c r="E36" i="5"/>
  <c r="D36" i="5"/>
  <c r="C36" i="5"/>
  <c r="B31" i="5"/>
  <c r="C31" i="5"/>
  <c r="D31" i="5"/>
  <c r="D30" i="5"/>
  <c r="C30" i="5"/>
  <c r="B30" i="5"/>
  <c r="F31" i="5"/>
  <c r="F30" i="5"/>
  <c r="E31" i="5"/>
  <c r="E30" i="5"/>
  <c r="B36" i="5"/>
  <c r="D23" i="5"/>
  <c r="C23" i="5"/>
  <c r="B23" i="5"/>
  <c r="D18" i="5"/>
  <c r="C18" i="5"/>
  <c r="B18" i="5"/>
  <c r="D17" i="5"/>
  <c r="C17" i="5"/>
  <c r="B17" i="5"/>
  <c r="D12" i="5"/>
  <c r="C12" i="5"/>
  <c r="B12" i="5"/>
  <c r="D11" i="5"/>
  <c r="C11" i="5"/>
  <c r="B11" i="5"/>
  <c r="D10" i="5"/>
  <c r="C10" i="5"/>
  <c r="B10" i="5"/>
  <c r="D9" i="5"/>
  <c r="C9" i="5"/>
  <c r="B9" i="5"/>
  <c r="F23" i="5"/>
  <c r="E23" i="5"/>
  <c r="F17" i="5"/>
  <c r="F18" i="5"/>
  <c r="E18" i="5"/>
  <c r="E17" i="5"/>
  <c r="F10" i="5"/>
  <c r="F11" i="5"/>
  <c r="F12" i="5"/>
  <c r="F9" i="5"/>
  <c r="E10" i="5"/>
  <c r="E11" i="5"/>
  <c r="E12" i="5"/>
  <c r="G68" i="5" l="1"/>
  <c r="I68" i="5" s="1"/>
  <c r="G36" i="5"/>
  <c r="I36" i="5" s="1"/>
  <c r="G58" i="5"/>
  <c r="I58" i="5" s="1"/>
  <c r="G44" i="5"/>
  <c r="I44" i="5" s="1"/>
  <c r="G57" i="5"/>
  <c r="I57" i="5" s="1"/>
  <c r="G65" i="5"/>
  <c r="I65" i="5" s="1"/>
  <c r="G67" i="5"/>
  <c r="I67" i="5" s="1"/>
  <c r="G51" i="5"/>
  <c r="I51" i="5" s="1"/>
  <c r="G30" i="5"/>
  <c r="I30" i="5" s="1"/>
  <c r="G52" i="5"/>
  <c r="I52" i="5" s="1"/>
  <c r="G66" i="5"/>
  <c r="I66" i="5" s="1"/>
  <c r="G43" i="5"/>
  <c r="I43" i="5" s="1"/>
  <c r="G23" i="5"/>
  <c r="I23" i="5" s="1"/>
  <c r="G31" i="5"/>
  <c r="I31" i="5" s="1"/>
  <c r="G11" i="5"/>
  <c r="I11" i="5" s="1"/>
  <c r="G12" i="5"/>
  <c r="I12" i="5" s="1"/>
  <c r="G18" i="5"/>
  <c r="I18" i="5" s="1"/>
  <c r="G17" i="5"/>
  <c r="I17" i="5" s="1"/>
  <c r="G10" i="5"/>
  <c r="I10" i="5" s="1"/>
  <c r="E9" i="5" l="1"/>
  <c r="K9" i="5" s="1"/>
  <c r="G9" i="5" l="1"/>
  <c r="I9" i="5" s="1"/>
  <c r="L9" i="5" s="1"/>
</calcChain>
</file>

<file path=xl/sharedStrings.xml><?xml version="1.0" encoding="utf-8"?>
<sst xmlns="http://schemas.openxmlformats.org/spreadsheetml/2006/main" count="881" uniqueCount="186">
  <si>
    <t>ACTIVIDAD ESTRATÉGICA</t>
  </si>
  <si>
    <t>OBJETIVO ESTRATÉGICO</t>
  </si>
  <si>
    <t>OBJETIVO ESTRATÉGICO N° 1</t>
  </si>
  <si>
    <t>RESPONSABLE DE EJECUCIÓN</t>
  </si>
  <si>
    <t>MEDIO DE VERIFICACIÓN</t>
  </si>
  <si>
    <t>UNIDAD DE MEDIDA</t>
  </si>
  <si>
    <t>ACTIVIDAD ESTRATÉGICA PROGRAMADA</t>
  </si>
  <si>
    <t>ACTIVIDAD ESTRATÉGICA EJECUTADA</t>
  </si>
  <si>
    <t>% AVANCE DE EJECUCIÓN</t>
  </si>
  <si>
    <t>OBJETIVO ESTRATÉGICO N° 2</t>
  </si>
  <si>
    <t>OBJETIVO ESTRATÉGICO N° 3</t>
  </si>
  <si>
    <t>OBJETIVO ESTRATÉGICO N° 4</t>
  </si>
  <si>
    <t>|</t>
  </si>
  <si>
    <t>OBJETIVO ESTRATÉGICO N° 5</t>
  </si>
  <si>
    <t>% ANUAL DE EJECUCIÓN</t>
  </si>
  <si>
    <t>MATRIZ TRIMESTRAL DE CUMPLIMIENTO DE ACTIVIDADES
AÑO:                COMITÉ:</t>
  </si>
  <si>
    <t>LÍNEA DE ACCIÓN</t>
  </si>
  <si>
    <t>NIVEL DE DESEMPEÑO AE</t>
  </si>
  <si>
    <t>NIVEL DESEMPEÑO LA</t>
  </si>
  <si>
    <t>NIVEL DESEMPEÑO OE</t>
  </si>
  <si>
    <t>NIVEL DESEMPEÑO COMITÉ</t>
  </si>
  <si>
    <t>OE 1</t>
  </si>
  <si>
    <t>LA 1.1</t>
  </si>
  <si>
    <t>LA 1.2</t>
  </si>
  <si>
    <t>LA 1.3</t>
  </si>
  <si>
    <t>OE 2</t>
  </si>
  <si>
    <t>LA 2.1</t>
  </si>
  <si>
    <t>LA 2.2</t>
  </si>
  <si>
    <t>OE 3</t>
  </si>
  <si>
    <t>LA 3.1</t>
  </si>
  <si>
    <t>LA 3.2</t>
  </si>
  <si>
    <t>AE 1.1.1</t>
  </si>
  <si>
    <t>AE 1.1.2</t>
  </si>
  <si>
    <t>AE 1.1.3</t>
  </si>
  <si>
    <t>AE 1.1.4</t>
  </si>
  <si>
    <t>AE 1.2.1</t>
  </si>
  <si>
    <t>AE 1.2.2</t>
  </si>
  <si>
    <t>AE 1.3.1</t>
  </si>
  <si>
    <t>AE 2.1.1</t>
  </si>
  <si>
    <t>AE 2.1.2</t>
  </si>
  <si>
    <t>AE 2.2.1</t>
  </si>
  <si>
    <t>AE 3.1.1</t>
  </si>
  <si>
    <t>AE 3.2.2</t>
  </si>
  <si>
    <t>OE 4</t>
  </si>
  <si>
    <t>LA 4.1</t>
  </si>
  <si>
    <t>LA 4.2</t>
  </si>
  <si>
    <t>AE 4.1.1</t>
  </si>
  <si>
    <t>AE 4.2.1</t>
  </si>
  <si>
    <t>AE 4.1.2</t>
  </si>
  <si>
    <t>AE 4.2.2</t>
  </si>
  <si>
    <t>OE 5</t>
  </si>
  <si>
    <t>LA 5.1</t>
  </si>
  <si>
    <t>AE 5.1.1</t>
  </si>
  <si>
    <t>AE 5.1.2</t>
  </si>
  <si>
    <t>AE 5.1.3</t>
  </si>
  <si>
    <t>AE 5.1.4</t>
  </si>
  <si>
    <t>RE</t>
  </si>
  <si>
    <t>UM</t>
  </si>
  <si>
    <t>MATRIZ ANUAL DE EVALUACIÓN
AÑO:                COMITÉ:</t>
  </si>
  <si>
    <t>LÍNEA DE ACCIÓN N° 1</t>
  </si>
  <si>
    <t>LÍNEA DE ACCIÓN N° 2</t>
  </si>
  <si>
    <t>LÍNEA DE ACCIÓN N° 3</t>
  </si>
  <si>
    <t>LÍNEA DE ACCIÓN N° 4</t>
  </si>
  <si>
    <t>LÍNEA DE ACCIÓN N° 5</t>
  </si>
  <si>
    <t>LÍNEA DE ACCIÓN N° 8</t>
  </si>
  <si>
    <t>LÍNEA DE ACCIÓN N° 13</t>
  </si>
  <si>
    <t>LÍNEA DE ACCIÓN N° 12</t>
  </si>
  <si>
    <t>LÍNEA DE ACCIÓN N° 16</t>
  </si>
  <si>
    <t xml:space="preserve">MATRIZ TRIMESTRAL DE CUMPLIMIENTO DE ACTIVIDADES
TRIMESTRE:             COMITÉ: </t>
  </si>
  <si>
    <t>PROG. I TRIMESTRE</t>
  </si>
  <si>
    <t>EJEC. I 
TRIMESTRE</t>
  </si>
  <si>
    <t>FECHA DE PRESENTACIÓN</t>
  </si>
  <si>
    <t xml:space="preserve"> =CONTAR.SI(J9:J68;"CONSIDERAR")</t>
  </si>
  <si>
    <t>PROG. I 
TRIMESTRE</t>
  </si>
  <si>
    <t>ACTIVIDADES &gt;= 75%</t>
  </si>
  <si>
    <t xml:space="preserve"> =CONTAR(F9:F12)+CONTAR(F17:F18)+CONTAR(F23)+CONTAR(F30:F31)+CONTAR(F36)+CONTAR(F43:F44)+CONTAR(F51:F52)+CONTAR(F57:F58)+CONTAR(F65:F68)</t>
  </si>
  <si>
    <t>CONSIDERAR</t>
  </si>
  <si>
    <t>CODIFICACIÓN</t>
  </si>
  <si>
    <t>% EJECUCIÓN</t>
  </si>
  <si>
    <t xml:space="preserve"> =AEE/AAP*100</t>
  </si>
  <si>
    <t>NIVEL CUMPLIMIENTO</t>
  </si>
  <si>
    <t>VERDE &gt;= 95</t>
  </si>
  <si>
    <t>ROJO &lt;75</t>
  </si>
  <si>
    <t xml:space="preserve">AMBAR ENTRE 75 Y 94 </t>
  </si>
  <si>
    <t>FORMATO CONDICIONAL</t>
  </si>
  <si>
    <t>EVALUACIÓN</t>
  </si>
  <si>
    <t>SEGUIMIENTO</t>
  </si>
  <si>
    <t>LÍNEA DE ACCIÓN N° 9</t>
  </si>
  <si>
    <t>LÍNEA DE ACCIÓN N° 11</t>
  </si>
  <si>
    <t>LÍNEA DE ACCIÓN N° 15</t>
  </si>
  <si>
    <t>LÍNEA DE ACCIÓN N° 17</t>
  </si>
  <si>
    <t>ACTIVIDADES &gt;= 50%</t>
  </si>
  <si>
    <t>MEJORAR EL ACCESO DE LA CIUDADANIA A LOS SERVICIOS DE SEGURIDAD CIUDADANA</t>
  </si>
  <si>
    <t>Gestión del Comité Distrital de Seguridad Ciudadana</t>
  </si>
  <si>
    <t xml:space="preserve">SESION ORDINARIA </t>
  </si>
  <si>
    <t>Nº SESIONES</t>
  </si>
  <si>
    <t>CONSULTA PUBLICA</t>
  </si>
  <si>
    <t>ACTA</t>
  </si>
  <si>
    <t xml:space="preserve">RENDICION DE CUENTAS </t>
  </si>
  <si>
    <t>ELABORAR Y REPORTAR INFORME TRIMESTRAL DE CUMPLIMIENTO DE ACTIVIDADES DEL PLAN</t>
  </si>
  <si>
    <t>ITCA</t>
  </si>
  <si>
    <t>EFECTUAR LA INSTALACIÓN DEL COMITÉ DE SEGURIDAD CIUDADANA</t>
  </si>
  <si>
    <t>ELABORAR Y REMITIR EL INFORME DE LA EVALUACIÓN DE DESEMPEÑO DE INTEGRANTES DEL COMITÉ DE SEGURIDAD CIUDADANA</t>
  </si>
  <si>
    <t>REGISTRO DEL PADSC EN LA PLATAFORMA O FORMULARIO VIRTUAL DE LA DGSC MININTER</t>
  </si>
  <si>
    <t>REGISTRO</t>
  </si>
  <si>
    <t>PUBLICACIÓN PADSC (PÁGINA WEB INSTITUCIONAL O LINK DE PUBLICACIÓN)</t>
  </si>
  <si>
    <t>PUBLICACION</t>
  </si>
  <si>
    <t>PUBLICACIÓN DE ACUERDOS DE SESIÓN DEL COMITÉ (PÁGINA WEB INSTITUCIONAL O LINK DE PUBLICACIÓN)</t>
  </si>
  <si>
    <t>PUBLICACIÓN DE EVALUACIÓN DE DESEMPEÑO INTEGRANTES DE COMITÉ. (PÁGINA WEB INSTITUCIONAL O LINK DE PUBLICACIÓN)</t>
  </si>
  <si>
    <t>ELABORAR Y ACTUALIZAR EL MAPA DE RIESGO DEL DISTRITO</t>
  </si>
  <si>
    <t>MAPA DEL RIESGO</t>
  </si>
  <si>
    <t>ELABORAR Y ACTUALIZAR EL MAPA DE DELITO DEL DISTRITO</t>
  </si>
  <si>
    <t>MAPA DEL DELITO</t>
  </si>
  <si>
    <t>FORMULACIÓN Y VALIDACIÓN DEL PASC</t>
  </si>
  <si>
    <t>PLAN</t>
  </si>
  <si>
    <t>INFORME DE  DESEMPEÑO</t>
  </si>
  <si>
    <t>REDUCIR LA VICTIMIZACIÓN POR LOS DELITOS DE ROBO Y HURTO EN ESPACIOS PÚBLICOS</t>
  </si>
  <si>
    <t>Patrullaje</t>
  </si>
  <si>
    <t>EJECUCIÓN DEL PATRULLAJE MIXTO (PNP, SERENAZGO YJUNTAS VECINALES).</t>
  </si>
  <si>
    <t>OPERATIVOS DE FISCALIZACIÓN CONTRA EL CONSUMO DE ALCOHOL EN LA VÍA PÚBLICA.</t>
  </si>
  <si>
    <t>REDUCIR LA INCIDENCIA DE DELITOS VIOLENTOS QUE AFECTAN A LA POBLACIÓN</t>
  </si>
  <si>
    <t>IMPLEMENTACIÓN ACCIONES DE SENSIBILIZACIÓN EN REDES SOCIALES, MEDIOS DE COMUNICACIÓN Y OTRO CANALES DE DIFUSIÓN PARA PREVENIR EL ABUSO SEXUAL POR INTERNET U OTROS MEDIOS TECNOLOGICOS</t>
  </si>
  <si>
    <t>CODISEC</t>
  </si>
  <si>
    <t>PNP</t>
  </si>
  <si>
    <t>SECRETARIA TECNICA</t>
  </si>
  <si>
    <t>ST CODISEC</t>
  </si>
  <si>
    <t xml:space="preserve">SECRETARIA TECNICA </t>
  </si>
  <si>
    <t>PNP, JJVV SUBPREFECTURA</t>
  </si>
  <si>
    <t>GOBIERNO LOCAL, PNP, SUPREFECTURA, JJVV</t>
  </si>
  <si>
    <t>GOBIERNO LOCAL.</t>
  </si>
  <si>
    <t>PREVENCION Y TRATAMIENTO DEL CONSUMO DE DROGAS EN ADOLESCENTES</t>
  </si>
  <si>
    <t>ST CODISEC, PUESTO DE SALUD</t>
  </si>
  <si>
    <t>BRINDAR CHARLAS DE SENSIBILIZACIÓN Y PREVENCIÓN A PADRES DE FAMILIA SOBRE LOS TEMAS: PAUTAS DE CRIANZA Y VIOLENCIA FAMILIAR</t>
  </si>
  <si>
    <t>INSTITUCION EDUCATIVA, MUNICIPALIDAD</t>
  </si>
  <si>
    <t>ACCIONES DE PREVENCION MEDIANTE LA PARTICIPACION CIUDADANA</t>
  </si>
  <si>
    <t>PNP, SUBPREFECTURA, MUNICIPALIDAD</t>
  </si>
  <si>
    <t>Prevención social del delito y las violencias</t>
  </si>
  <si>
    <t>Prevención comunitaria del delito y las violencias</t>
  </si>
  <si>
    <t>Espacios públicos seguros</t>
  </si>
  <si>
    <t>Control de armas</t>
  </si>
  <si>
    <t>CAMPAÑAS DE SENSIBILIZACION PREVENTIVA SOBRE EL USO DE ARMAS</t>
  </si>
  <si>
    <t>PNP, MUNICIPALIDAD, ST CODISEC</t>
  </si>
  <si>
    <t>REDUCIR LOS DELITOS DE COMPLEJIDAD COMETIDOS POR BANDAS CRIMINALES QUE VICTIMIZA A LA POBLACION</t>
  </si>
  <si>
    <t>Prevención de delitos informáticos</t>
  </si>
  <si>
    <t>OBJETIVO ESTRATÉGICO 01: INCREMENTAR LAS ACCIONES QUE PROPICIAN LA PREVENCIÓN DEL DELITO Y VIOLENCIAS COMETIDOS POR LOS ADOLESCENTES Y JÓVENES QUE AFECTAN A LA POBLACIÓN.</t>
  </si>
  <si>
    <t>PREVENCION Y ATENCION DE LA VIOLENCIA ESCOLAR</t>
  </si>
  <si>
    <t>Prevención, investigación, atención y protección a las víctimas de violencia contra la mujer e integrantes del grupo familiar</t>
  </si>
  <si>
    <t>PREVENCIÓN DE LA VIOLENCIA SEXUAL CONTRA NIÑOS, NIÑAS Y ADOLESCENTES.</t>
  </si>
  <si>
    <t>PUESTO DE SALUD, PNP, GOBIERNO LOCAL.</t>
  </si>
  <si>
    <t>A CONSIDERAR</t>
  </si>
  <si>
    <t>LINK</t>
  </si>
  <si>
    <t>EJECUCIÓN DEL PATRULLAJE POR SECTOR</t>
  </si>
  <si>
    <t>INFORME</t>
  </si>
  <si>
    <t>OFICIO</t>
  </si>
  <si>
    <t>MATRIZ TRIMESTRAL DE CUMPLIMIENTO DE ACTIVIDADES
TRIMESTRE:   I          COMITÉ: CHOCO</t>
  </si>
  <si>
    <t>INFORME Nº 009 - 2026-ST-CODISEC/MDCH</t>
  </si>
  <si>
    <t>ITCA I</t>
  </si>
  <si>
    <t>ACTA DE INSTALACION DEL COMITÉ</t>
  </si>
  <si>
    <t>OFICIO N3 ST-CODISEC-MDCH</t>
  </si>
  <si>
    <t>OFICIO N4 ST-CODISEC-MDCH</t>
  </si>
  <si>
    <t>INFORME Nº 015 - 2026-ST-CODISEC/MDCH</t>
  </si>
  <si>
    <t>INFORME Nº 016 - 2026-ST-CODISEC/MDCH</t>
  </si>
  <si>
    <t>INFORME Nº 017 - 2026-ST-CODISEC/MDCH</t>
  </si>
  <si>
    <t>PADSC</t>
  </si>
  <si>
    <t>ENLACE</t>
  </si>
  <si>
    <t>INFORME Nº 012 - 2026-ST-CODISEC/MDCH</t>
  </si>
  <si>
    <t>INFORME Nº 013 - 2026-ST-CODISEC/MDCH</t>
  </si>
  <si>
    <t>INFORME Nº 011 - 2026-ST-CODISEC/MDCH</t>
  </si>
  <si>
    <t>INFORME Nº 010 - 2026-ST-CODISEC/MDCH</t>
  </si>
  <si>
    <t>INFORME Nº 014 - 2026-ST-CODISEC/MDCH</t>
  </si>
  <si>
    <t>INFORME Nº 007 - 2026-ST-CODISEC/MDCH  INFORME Nº 008 - 2026-ST-CODISEC/MDCH</t>
  </si>
  <si>
    <t>MATRIZ TRIMESTRAL DE CUMPLIMIENTO DE ACTIVIDADES
TRIMESTRE:   II          COMITE: CHOCO</t>
  </si>
  <si>
    <t>OFICIO N 005 - 2026-ST-CODISEC/MDCH</t>
  </si>
  <si>
    <t>ITCA II</t>
  </si>
  <si>
    <t>OFICIO N 006 - 2026-ST-CODISEC/MDCH</t>
  </si>
  <si>
    <t>INFORME DE DESEMPENO</t>
  </si>
  <si>
    <t>INFORME N 028 - 2026-ST-CODISEC/MDCH</t>
  </si>
  <si>
    <t>INFORME N 029 - 2026-ST-CODISEC/MDCH</t>
  </si>
  <si>
    <t>INFORME N 030 - 2026-ST-CODISEC/MDCH</t>
  </si>
  <si>
    <t>INFORME N 025 - 2026-ST-CODISEC/MDCH</t>
  </si>
  <si>
    <t>INFORME N 026 - 2026-ST-CODISEC/MDCH</t>
  </si>
  <si>
    <t>INFORME N 027 - 2026-ST-CODISEC/MDCH</t>
  </si>
  <si>
    <t>INFORME N 022 - 2026-ST-CODISEC/MDCH</t>
  </si>
  <si>
    <t xml:space="preserve">
INFORME N 021 - 2026-ST-CODISEC/MDCH</t>
  </si>
  <si>
    <t>INFORME N 020 - 2026-ST-CODISEC/MDCH</t>
  </si>
  <si>
    <t>INFORME N 023 - 2026-ST-CODISEC/MDCH
 INFORME N 024 - 2026-ST-CODISEC/MDCH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</si>
</sst>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66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2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2" fontId="2" fillId="0" borderId="1" xfId="0" applyNumberFormat="1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2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0" fillId="4" borderId="11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4" borderId="13" xfId="0" applyFill="1" applyBorder="1" applyAlignment="1" applyProtection="1">
      <alignment horizontal="center" vertical="center" wrapText="1"/>
      <protection locked="0"/>
    </xf>
    <xf numFmtId="0" fontId="0" fillId="5" borderId="11" xfId="0" applyFill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5" borderId="13" xfId="0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7" borderId="10" xfId="0" applyFont="1" applyFill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44" fontId="5" fillId="0" borderId="10" xfId="1" applyFont="1" applyBorder="1" applyAlignment="1">
      <alignment horizontal="center" vertical="center" wrapText="1"/>
    </xf>
    <xf numFmtId="44" fontId="5" fillId="0" borderId="3" xfId="1" applyFont="1" applyBorder="1" applyAlignment="1">
      <alignment horizontal="center" vertical="center" wrapText="1"/>
    </xf>
    <xf numFmtId="44" fontId="5" fillId="0" borderId="2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26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6C4E-734C-452B-98BD-F39B1CB6F420}">
  <dimension ref="B1:V607"/>
  <sheetViews>
    <sheetView showGridLines="0" topLeftCell="A15" zoomScale="55" zoomScaleNormal="55" zoomScaleSheetLayoutView="85" workbookViewId="0">
      <selection activeCell="M16" sqref="M16"/>
    </sheetView>
  </sheetViews>
  <sheetFormatPr baseColWidth="10" defaultColWidth="11.42578125" defaultRowHeight="15" x14ac:dyDescent="0.25"/>
  <cols>
    <col min="1" max="1" width="10.7109375" style="14" customWidth="1"/>
    <col min="2" max="2" width="35.7109375" style="14" customWidth="1"/>
    <col min="3" max="4" width="25.7109375" style="14" customWidth="1"/>
    <col min="5" max="7" width="15.7109375" style="14" customWidth="1"/>
    <col min="8" max="8" width="15.7109375" style="14" hidden="1" customWidth="1"/>
    <col min="9" max="9" width="16.85546875" style="14" hidden="1" customWidth="1"/>
    <col min="10" max="12" width="11.42578125" style="14"/>
    <col min="13" max="13" width="16.7109375" style="14" customWidth="1"/>
    <col min="14" max="14" width="11.42578125" style="14"/>
    <col min="15" max="15" width="12.28515625" style="14" hidden="1" customWidth="1"/>
    <col min="16" max="16" width="11.85546875" style="14" hidden="1" customWidth="1"/>
    <col min="17" max="22" width="11.42578125" style="14" hidden="1" customWidth="1"/>
    <col min="23" max="16384" width="11.42578125" style="14"/>
  </cols>
  <sheetData>
    <row r="1" spans="2:22" ht="9.9499999999999993" customHeight="1" x14ac:dyDescent="0.25">
      <c r="B1" s="57"/>
      <c r="C1" s="57"/>
      <c r="D1" s="57"/>
      <c r="E1" s="57"/>
      <c r="F1" s="57"/>
      <c r="G1" s="57"/>
    </row>
    <row r="2" spans="2:22" ht="39.950000000000003" customHeight="1" x14ac:dyDescent="0.25">
      <c r="B2" s="58" t="s">
        <v>154</v>
      </c>
      <c r="C2" s="59"/>
      <c r="D2" s="59"/>
      <c r="E2" s="59"/>
      <c r="F2" s="59"/>
      <c r="G2" s="59"/>
      <c r="O2" s="60" t="s">
        <v>77</v>
      </c>
      <c r="P2" s="60"/>
    </row>
    <row r="3" spans="2:22" ht="9.9499999999999993" customHeight="1" x14ac:dyDescent="0.25">
      <c r="B3" s="61"/>
      <c r="C3" s="61"/>
      <c r="D3" s="61"/>
      <c r="E3" s="61"/>
      <c r="F3" s="61"/>
      <c r="G3" s="61"/>
    </row>
    <row r="4" spans="2:22" ht="39.950000000000003" customHeight="1" x14ac:dyDescent="0.25">
      <c r="B4" s="59" t="s">
        <v>2</v>
      </c>
      <c r="C4" s="59"/>
      <c r="D4" s="62" t="s">
        <v>144</v>
      </c>
      <c r="E4" s="63"/>
      <c r="F4" s="63"/>
      <c r="G4" s="63"/>
      <c r="O4" s="16" t="s">
        <v>78</v>
      </c>
      <c r="P4" s="64" t="s">
        <v>79</v>
      </c>
      <c r="Q4" s="64"/>
    </row>
    <row r="5" spans="2:22" ht="9.9499999999999993" customHeight="1" x14ac:dyDescent="0.25">
      <c r="B5" s="61"/>
      <c r="C5" s="61"/>
      <c r="D5" s="61"/>
      <c r="E5" s="61"/>
      <c r="F5" s="61"/>
      <c r="G5" s="61"/>
    </row>
    <row r="6" spans="2:22" ht="30" customHeight="1" x14ac:dyDescent="0.25">
      <c r="B6" s="59" t="s">
        <v>59</v>
      </c>
      <c r="C6" s="59"/>
      <c r="D6" s="65" t="s">
        <v>136</v>
      </c>
      <c r="E6" s="65"/>
      <c r="F6" s="65"/>
      <c r="G6" s="65"/>
      <c r="K6" s="66" t="s">
        <v>91</v>
      </c>
      <c r="L6" s="67"/>
      <c r="M6" s="68"/>
      <c r="O6" s="18" t="s">
        <v>80</v>
      </c>
      <c r="P6" s="64" t="s">
        <v>84</v>
      </c>
      <c r="Q6" s="64"/>
    </row>
    <row r="7" spans="2:22" ht="9.9499999999999993" customHeight="1" x14ac:dyDescent="0.25">
      <c r="B7" s="56"/>
      <c r="C7" s="56"/>
      <c r="D7" s="56"/>
      <c r="E7" s="56"/>
      <c r="F7" s="56"/>
      <c r="G7" s="56"/>
      <c r="O7" s="19"/>
      <c r="P7" s="20"/>
      <c r="Q7" s="21"/>
    </row>
    <row r="8" spans="2:22" s="22" customFormat="1" ht="45" x14ac:dyDescent="0.25">
      <c r="B8" s="15" t="s">
        <v>0</v>
      </c>
      <c r="C8" s="15" t="s">
        <v>3</v>
      </c>
      <c r="D8" s="15" t="s">
        <v>4</v>
      </c>
      <c r="E8" s="15" t="s">
        <v>5</v>
      </c>
      <c r="F8" s="15" t="s">
        <v>6</v>
      </c>
      <c r="G8" s="15" t="s">
        <v>7</v>
      </c>
      <c r="H8" s="15" t="s">
        <v>8</v>
      </c>
      <c r="I8" s="5" t="s">
        <v>149</v>
      </c>
      <c r="K8" s="15" t="s">
        <v>69</v>
      </c>
      <c r="L8" s="15" t="s">
        <v>70</v>
      </c>
      <c r="M8" s="15" t="s">
        <v>71</v>
      </c>
      <c r="O8" s="69" t="s">
        <v>81</v>
      </c>
      <c r="P8" s="70"/>
      <c r="Q8" s="71"/>
      <c r="R8" s="23"/>
    </row>
    <row r="9" spans="2:22" ht="24" x14ac:dyDescent="0.25">
      <c r="B9" s="39" t="s">
        <v>145</v>
      </c>
      <c r="C9" s="40" t="s">
        <v>133</v>
      </c>
      <c r="D9" s="38"/>
      <c r="E9" s="40"/>
      <c r="F9" s="24"/>
      <c r="G9" s="24"/>
      <c r="H9" s="7" t="e">
        <f>G9/F9*100</f>
        <v>#DIV/0!</v>
      </c>
      <c r="I9" s="31" t="e">
        <f>IF(H9&gt;=50,"CONSIDERAR","NO")</f>
        <v>#DIV/0!</v>
      </c>
      <c r="K9" s="13">
        <f>COUNT(F9:F11)+COUNT(F16:F16)+COUNT(#REF!)+COUNT(F23:F24)+COUNT(F25)+COUNT(#REF!)+COUNT(F55:F55)+COUNT(#REF!)+COUNT(F67:F67)+COUNT(F26:F27)+COUNT(F28:F35)+COUNT(F48:F48)+COUNT(F42:F43)+COUNT(#REF!)+COUNT(#REF!)+COUNT(F60:F60)+COUNT(#REF!)</f>
        <v>18</v>
      </c>
      <c r="L9" s="13">
        <f>COUNTIF(I9:I67,"CONSIDERAR")</f>
        <v>18</v>
      </c>
      <c r="M9" s="17"/>
      <c r="O9" s="72" t="s">
        <v>83</v>
      </c>
      <c r="P9" s="73"/>
      <c r="Q9" s="74"/>
    </row>
    <row r="10" spans="2:22" ht="36" x14ac:dyDescent="0.25">
      <c r="B10" s="39" t="s">
        <v>130</v>
      </c>
      <c r="C10" s="40" t="s">
        <v>131</v>
      </c>
      <c r="D10" s="38"/>
      <c r="E10" s="40"/>
      <c r="F10" s="24"/>
      <c r="G10" s="24"/>
      <c r="H10" s="7" t="e">
        <f t="shared" ref="H10:H11" si="0">G10/F10*100</f>
        <v>#DIV/0!</v>
      </c>
      <c r="I10" s="31" t="e">
        <f t="shared" ref="I10:I11" si="1">IF(H10&gt;=50,"CONSIDERAR","NO")</f>
        <v>#DIV/0!</v>
      </c>
      <c r="O10" s="75" t="s">
        <v>82</v>
      </c>
      <c r="P10" s="76"/>
      <c r="Q10" s="77"/>
    </row>
    <row r="11" spans="2:22" ht="48" x14ac:dyDescent="0.25">
      <c r="B11" s="39" t="s">
        <v>132</v>
      </c>
      <c r="C11" s="40" t="s">
        <v>133</v>
      </c>
      <c r="D11" s="38"/>
      <c r="E11" s="40"/>
      <c r="F11" s="24"/>
      <c r="G11" s="24"/>
      <c r="H11" s="7" t="e">
        <f t="shared" si="0"/>
        <v>#DIV/0!</v>
      </c>
      <c r="I11" s="31" t="e">
        <f t="shared" si="1"/>
        <v>#DIV/0!</v>
      </c>
    </row>
    <row r="12" spans="2:22" ht="9.9499999999999993" customHeight="1" x14ac:dyDescent="0.25">
      <c r="B12" s="78"/>
      <c r="C12" s="78"/>
      <c r="D12" s="78"/>
      <c r="E12" s="78"/>
      <c r="F12" s="78"/>
      <c r="G12" s="78"/>
      <c r="I12" s="27"/>
      <c r="O12" s="25"/>
    </row>
    <row r="13" spans="2:22" ht="30" customHeight="1" x14ac:dyDescent="0.25">
      <c r="B13" s="79" t="s">
        <v>60</v>
      </c>
      <c r="C13" s="79"/>
      <c r="D13" s="80" t="s">
        <v>137</v>
      </c>
      <c r="E13" s="80"/>
      <c r="F13" s="80"/>
      <c r="G13" s="80"/>
      <c r="I13" s="27"/>
      <c r="O13" s="16" t="s">
        <v>73</v>
      </c>
      <c r="P13" s="81" t="s">
        <v>75</v>
      </c>
      <c r="Q13" s="81"/>
      <c r="R13" s="81"/>
      <c r="S13" s="81"/>
      <c r="T13" s="81"/>
      <c r="U13" s="81"/>
      <c r="V13" s="81"/>
    </row>
    <row r="14" spans="2:22" ht="9.9499999999999993" customHeight="1" x14ac:dyDescent="0.25">
      <c r="B14" s="56"/>
      <c r="C14" s="56"/>
      <c r="D14" s="56"/>
      <c r="E14" s="56"/>
      <c r="F14" s="56"/>
      <c r="G14" s="56"/>
      <c r="I14" s="27"/>
      <c r="O14" s="25"/>
    </row>
    <row r="15" spans="2:22" ht="45" customHeight="1" x14ac:dyDescent="0.25">
      <c r="B15" s="26" t="s">
        <v>0</v>
      </c>
      <c r="C15" s="26" t="s">
        <v>3</v>
      </c>
      <c r="D15" s="26" t="s">
        <v>4</v>
      </c>
      <c r="E15" s="26" t="s">
        <v>5</v>
      </c>
      <c r="F15" s="26" t="s">
        <v>6</v>
      </c>
      <c r="G15" s="26" t="s">
        <v>7</v>
      </c>
      <c r="H15" s="15" t="s">
        <v>8</v>
      </c>
      <c r="I15" s="5" t="s">
        <v>149</v>
      </c>
      <c r="O15" s="16" t="s">
        <v>70</v>
      </c>
      <c r="P15" s="64" t="s">
        <v>72</v>
      </c>
      <c r="Q15" s="64"/>
      <c r="R15" s="64"/>
    </row>
    <row r="16" spans="2:22" ht="24" x14ac:dyDescent="0.25">
      <c r="B16" s="40" t="s">
        <v>134</v>
      </c>
      <c r="C16" s="40" t="s">
        <v>135</v>
      </c>
      <c r="D16" s="38"/>
      <c r="E16" s="40"/>
      <c r="F16" s="24"/>
      <c r="G16" s="24"/>
      <c r="H16" s="7" t="e">
        <f>G16/F16*100</f>
        <v>#DIV/0!</v>
      </c>
      <c r="I16" s="31" t="e">
        <f>IF(H16&gt;=50,"CONSIDERAR","NO")</f>
        <v>#DIV/0!</v>
      </c>
    </row>
    <row r="17" spans="2:9" ht="9.9499999999999993" customHeight="1" x14ac:dyDescent="0.25">
      <c r="B17" s="56"/>
      <c r="C17" s="56"/>
      <c r="D17" s="56"/>
      <c r="E17" s="56"/>
      <c r="F17" s="56"/>
      <c r="G17" s="56"/>
      <c r="I17" s="27"/>
    </row>
    <row r="18" spans="2:9" ht="39.950000000000003" customHeight="1" x14ac:dyDescent="0.25">
      <c r="B18" s="82" t="s">
        <v>9</v>
      </c>
      <c r="C18" s="82"/>
      <c r="D18" s="62" t="s">
        <v>92</v>
      </c>
      <c r="E18" s="63"/>
      <c r="F18" s="63"/>
      <c r="G18" s="63"/>
      <c r="I18" s="27"/>
    </row>
    <row r="19" spans="2:9" ht="9.9499999999999993" customHeight="1" x14ac:dyDescent="0.25">
      <c r="B19" s="56"/>
      <c r="C19" s="56"/>
      <c r="D19" s="56"/>
      <c r="E19" s="56"/>
      <c r="F19" s="56"/>
      <c r="G19" s="56"/>
      <c r="I19" s="27"/>
    </row>
    <row r="20" spans="2:9" ht="30" customHeight="1" x14ac:dyDescent="0.25">
      <c r="B20" s="82" t="s">
        <v>62</v>
      </c>
      <c r="C20" s="82"/>
      <c r="D20" s="65" t="s">
        <v>93</v>
      </c>
      <c r="E20" s="65"/>
      <c r="F20" s="65"/>
      <c r="G20" s="65"/>
      <c r="I20" s="27"/>
    </row>
    <row r="21" spans="2:9" ht="9.9499999999999993" customHeight="1" x14ac:dyDescent="0.25">
      <c r="B21" s="56"/>
      <c r="C21" s="56"/>
      <c r="D21" s="56"/>
      <c r="E21" s="56"/>
      <c r="F21" s="56"/>
      <c r="G21" s="56"/>
      <c r="I21" s="27"/>
    </row>
    <row r="22" spans="2:9" ht="45" customHeight="1" x14ac:dyDescent="0.25">
      <c r="B22" s="15" t="s">
        <v>0</v>
      </c>
      <c r="C22" s="15" t="s">
        <v>3</v>
      </c>
      <c r="D22" s="15" t="s">
        <v>4</v>
      </c>
      <c r="E22" s="15" t="s">
        <v>5</v>
      </c>
      <c r="F22" s="15" t="s">
        <v>6</v>
      </c>
      <c r="G22" s="15" t="s">
        <v>7</v>
      </c>
      <c r="H22" s="15" t="s">
        <v>8</v>
      </c>
      <c r="I22" s="5" t="s">
        <v>149</v>
      </c>
    </row>
    <row r="23" spans="2:9" ht="60" x14ac:dyDescent="0.25">
      <c r="B23" s="40" t="s">
        <v>94</v>
      </c>
      <c r="C23" s="40" t="s">
        <v>122</v>
      </c>
      <c r="D23" s="31" t="s">
        <v>170</v>
      </c>
      <c r="E23" s="35" t="s">
        <v>97</v>
      </c>
      <c r="F23" s="30">
        <v>2</v>
      </c>
      <c r="G23" s="30">
        <v>2</v>
      </c>
      <c r="H23" s="7">
        <f>G23/F23*100</f>
        <v>100</v>
      </c>
      <c r="I23" s="31" t="str">
        <f>IF(H23&gt;=50,"CONSIDERAR","NO")</f>
        <v>CONSIDERAR</v>
      </c>
    </row>
    <row r="24" spans="2:9" ht="30" x14ac:dyDescent="0.25">
      <c r="B24" s="40" t="s">
        <v>96</v>
      </c>
      <c r="C24" s="40" t="s">
        <v>122</v>
      </c>
      <c r="D24" s="31" t="s">
        <v>155</v>
      </c>
      <c r="E24" s="35" t="s">
        <v>97</v>
      </c>
      <c r="F24" s="30">
        <v>1</v>
      </c>
      <c r="G24" s="30">
        <v>1</v>
      </c>
      <c r="H24" s="7">
        <f t="shared" ref="H24:H35" si="2">G24/F24*100</f>
        <v>100</v>
      </c>
      <c r="I24" s="31" t="str">
        <f t="shared" ref="I24:I35" si="3">IF(H24&gt;=50,"CONSIDERAR","NO")</f>
        <v>CONSIDERAR</v>
      </c>
    </row>
    <row r="25" spans="2:9" ht="30" x14ac:dyDescent="0.25">
      <c r="B25" s="40" t="s">
        <v>98</v>
      </c>
      <c r="C25" s="40" t="s">
        <v>123</v>
      </c>
      <c r="D25" s="30" t="s">
        <v>158</v>
      </c>
      <c r="E25" s="35" t="s">
        <v>153</v>
      </c>
      <c r="F25" s="30">
        <v>1</v>
      </c>
      <c r="G25" s="30">
        <v>1</v>
      </c>
      <c r="H25" s="7">
        <f t="shared" si="2"/>
        <v>100</v>
      </c>
      <c r="I25" s="31" t="str">
        <f t="shared" si="3"/>
        <v>CONSIDERAR</v>
      </c>
    </row>
    <row r="26" spans="2:9" ht="36" x14ac:dyDescent="0.25">
      <c r="B26" s="39" t="s">
        <v>99</v>
      </c>
      <c r="C26" s="40" t="s">
        <v>124</v>
      </c>
      <c r="D26" s="30" t="s">
        <v>156</v>
      </c>
      <c r="E26" s="35" t="s">
        <v>100</v>
      </c>
      <c r="F26" s="30">
        <v>1</v>
      </c>
      <c r="G26" s="30">
        <v>1</v>
      </c>
      <c r="H26" s="7">
        <f t="shared" si="2"/>
        <v>100</v>
      </c>
      <c r="I26" s="31" t="str">
        <f t="shared" si="3"/>
        <v>CONSIDERAR</v>
      </c>
    </row>
    <row r="27" spans="2:9" ht="30" x14ac:dyDescent="0.25">
      <c r="B27" s="39" t="s">
        <v>101</v>
      </c>
      <c r="C27" s="40" t="s">
        <v>122</v>
      </c>
      <c r="D27" s="30" t="s">
        <v>157</v>
      </c>
      <c r="E27" s="35" t="s">
        <v>97</v>
      </c>
      <c r="F27" s="30">
        <v>1</v>
      </c>
      <c r="G27" s="30">
        <v>1</v>
      </c>
      <c r="H27" s="7">
        <f t="shared" si="2"/>
        <v>100</v>
      </c>
      <c r="I27" s="31" t="str">
        <f t="shared" si="3"/>
        <v>CONSIDERAR</v>
      </c>
    </row>
    <row r="28" spans="2:9" ht="48" x14ac:dyDescent="0.25">
      <c r="B28" s="39" t="s">
        <v>102</v>
      </c>
      <c r="C28" s="40" t="s">
        <v>125</v>
      </c>
      <c r="D28" s="30" t="s">
        <v>159</v>
      </c>
      <c r="E28" s="35" t="s">
        <v>115</v>
      </c>
      <c r="F28" s="30">
        <v>1</v>
      </c>
      <c r="G28" s="30">
        <v>1</v>
      </c>
      <c r="H28" s="7">
        <f t="shared" si="2"/>
        <v>100</v>
      </c>
      <c r="I28" s="31" t="str">
        <f t="shared" si="3"/>
        <v>CONSIDERAR</v>
      </c>
    </row>
    <row r="29" spans="2:9" ht="36" x14ac:dyDescent="0.25">
      <c r="B29" s="39" t="s">
        <v>103</v>
      </c>
      <c r="C29" s="40" t="s">
        <v>126</v>
      </c>
      <c r="D29" s="52" t="s">
        <v>164</v>
      </c>
      <c r="E29" s="35" t="s">
        <v>104</v>
      </c>
      <c r="F29" s="30">
        <v>1</v>
      </c>
      <c r="G29" s="30">
        <v>1</v>
      </c>
      <c r="H29" s="7">
        <f t="shared" si="2"/>
        <v>100</v>
      </c>
      <c r="I29" s="31" t="str">
        <f t="shared" si="3"/>
        <v>CONSIDERAR</v>
      </c>
    </row>
    <row r="30" spans="2:9" s="53" customFormat="1" ht="50.25" customHeight="1" x14ac:dyDescent="0.25">
      <c r="B30" s="39" t="s">
        <v>105</v>
      </c>
      <c r="C30" s="40" t="s">
        <v>126</v>
      </c>
      <c r="D30" s="31" t="s">
        <v>160</v>
      </c>
      <c r="E30" s="35" t="s">
        <v>150</v>
      </c>
      <c r="F30" s="30">
        <v>1</v>
      </c>
      <c r="G30" s="30">
        <v>1</v>
      </c>
      <c r="H30" s="54">
        <f t="shared" si="2"/>
        <v>100</v>
      </c>
      <c r="I30" s="31" t="str">
        <f t="shared" si="3"/>
        <v>CONSIDERAR</v>
      </c>
    </row>
    <row r="31" spans="2:9" ht="48" x14ac:dyDescent="0.25">
      <c r="B31" s="39" t="s">
        <v>107</v>
      </c>
      <c r="C31" s="40" t="s">
        <v>126</v>
      </c>
      <c r="D31" s="31" t="s">
        <v>161</v>
      </c>
      <c r="E31" s="35" t="s">
        <v>150</v>
      </c>
      <c r="F31" s="30">
        <v>1</v>
      </c>
      <c r="G31" s="30">
        <v>1</v>
      </c>
      <c r="H31" s="7">
        <f t="shared" si="2"/>
        <v>100</v>
      </c>
      <c r="I31" s="31" t="str">
        <f t="shared" si="3"/>
        <v>CONSIDERAR</v>
      </c>
    </row>
    <row r="32" spans="2:9" ht="48" x14ac:dyDescent="0.25">
      <c r="B32" s="39" t="s">
        <v>108</v>
      </c>
      <c r="C32" s="40" t="s">
        <v>126</v>
      </c>
      <c r="D32" s="31" t="s">
        <v>162</v>
      </c>
      <c r="E32" s="35" t="s">
        <v>106</v>
      </c>
      <c r="F32" s="30">
        <v>1</v>
      </c>
      <c r="G32" s="30">
        <v>1</v>
      </c>
      <c r="H32" s="7">
        <f t="shared" si="2"/>
        <v>100</v>
      </c>
      <c r="I32" s="31" t="str">
        <f t="shared" si="3"/>
        <v>CONSIDERAR</v>
      </c>
    </row>
    <row r="33" spans="2:9" ht="30" x14ac:dyDescent="0.25">
      <c r="B33" s="39" t="s">
        <v>109</v>
      </c>
      <c r="C33" s="40" t="s">
        <v>126</v>
      </c>
      <c r="D33" s="30" t="s">
        <v>163</v>
      </c>
      <c r="E33" s="35" t="s">
        <v>110</v>
      </c>
      <c r="F33" s="30">
        <v>1</v>
      </c>
      <c r="G33" s="30">
        <v>1</v>
      </c>
      <c r="H33" s="7">
        <f t="shared" si="2"/>
        <v>100</v>
      </c>
      <c r="I33" s="31" t="str">
        <f t="shared" si="3"/>
        <v>CONSIDERAR</v>
      </c>
    </row>
    <row r="34" spans="2:9" ht="30" x14ac:dyDescent="0.25">
      <c r="B34" s="39" t="s">
        <v>111</v>
      </c>
      <c r="C34" s="40" t="s">
        <v>124</v>
      </c>
      <c r="D34" s="30" t="s">
        <v>163</v>
      </c>
      <c r="E34" s="35" t="s">
        <v>112</v>
      </c>
      <c r="F34" s="30">
        <v>1</v>
      </c>
      <c r="G34" s="30">
        <v>1</v>
      </c>
      <c r="H34" s="7">
        <f t="shared" si="2"/>
        <v>100</v>
      </c>
      <c r="I34" s="31" t="str">
        <f t="shared" si="3"/>
        <v>CONSIDERAR</v>
      </c>
    </row>
    <row r="35" spans="2:9" x14ac:dyDescent="0.25">
      <c r="B35" s="39" t="s">
        <v>113</v>
      </c>
      <c r="C35" s="40" t="s">
        <v>122</v>
      </c>
      <c r="D35" s="30" t="s">
        <v>163</v>
      </c>
      <c r="E35" s="35" t="s">
        <v>114</v>
      </c>
      <c r="F35" s="30">
        <v>1</v>
      </c>
      <c r="G35" s="30">
        <v>1</v>
      </c>
      <c r="H35" s="7">
        <f t="shared" si="2"/>
        <v>100</v>
      </c>
      <c r="I35" s="31" t="str">
        <f t="shared" si="3"/>
        <v>CONSIDERAR</v>
      </c>
    </row>
    <row r="36" spans="2:9" ht="9.9499999999999993" customHeight="1" x14ac:dyDescent="0.25">
      <c r="B36" s="56"/>
      <c r="C36" s="56"/>
      <c r="D36" s="56"/>
      <c r="E36" s="56"/>
      <c r="F36" s="56"/>
      <c r="G36" s="56"/>
      <c r="I36" s="27"/>
    </row>
    <row r="37" spans="2:9" ht="39.950000000000003" customHeight="1" x14ac:dyDescent="0.25">
      <c r="B37" s="87" t="s">
        <v>10</v>
      </c>
      <c r="C37" s="87"/>
      <c r="D37" s="88" t="s">
        <v>116</v>
      </c>
      <c r="E37" s="88"/>
      <c r="F37" s="88"/>
      <c r="G37" s="88"/>
      <c r="I37" s="27"/>
    </row>
    <row r="38" spans="2:9" ht="9.9499999999999993" customHeight="1" x14ac:dyDescent="0.25">
      <c r="B38" s="56"/>
      <c r="C38" s="56"/>
      <c r="D38" s="56"/>
      <c r="E38" s="56"/>
      <c r="F38" s="56"/>
      <c r="G38" s="56"/>
      <c r="I38" s="27"/>
    </row>
    <row r="39" spans="2:9" ht="30" customHeight="1" x14ac:dyDescent="0.25">
      <c r="B39" s="87" t="s">
        <v>64</v>
      </c>
      <c r="C39" s="87"/>
      <c r="D39" s="65" t="s">
        <v>117</v>
      </c>
      <c r="E39" s="65"/>
      <c r="F39" s="65"/>
      <c r="G39" s="65"/>
      <c r="I39" s="27"/>
    </row>
    <row r="40" spans="2:9" ht="9.9499999999999993" customHeight="1" x14ac:dyDescent="0.25">
      <c r="B40" s="56"/>
      <c r="C40" s="56"/>
      <c r="D40" s="56"/>
      <c r="E40" s="56"/>
      <c r="F40" s="56"/>
      <c r="G40" s="56"/>
      <c r="I40" s="27"/>
    </row>
    <row r="41" spans="2:9" ht="42.95" customHeight="1" x14ac:dyDescent="0.25">
      <c r="B41" s="15" t="s">
        <v>0</v>
      </c>
      <c r="C41" s="15" t="s">
        <v>3</v>
      </c>
      <c r="D41" s="15" t="s">
        <v>4</v>
      </c>
      <c r="E41" s="15" t="s">
        <v>5</v>
      </c>
      <c r="F41" s="15" t="s">
        <v>6</v>
      </c>
      <c r="G41" s="15" t="s">
        <v>7</v>
      </c>
      <c r="H41" s="15" t="s">
        <v>8</v>
      </c>
      <c r="I41" s="5" t="s">
        <v>149</v>
      </c>
    </row>
    <row r="42" spans="2:9" s="41" customFormat="1" ht="36.75" thickBot="1" x14ac:dyDescent="0.3">
      <c r="B42" s="40" t="s">
        <v>118</v>
      </c>
      <c r="C42" s="40" t="s">
        <v>127</v>
      </c>
      <c r="D42" s="27" t="s">
        <v>165</v>
      </c>
      <c r="E42" s="32" t="s">
        <v>152</v>
      </c>
      <c r="F42" s="43">
        <v>3</v>
      </c>
      <c r="G42" s="43">
        <v>3</v>
      </c>
      <c r="H42" s="7">
        <f>G42/F42*100</f>
        <v>100</v>
      </c>
      <c r="I42" s="31" t="str">
        <f>IF(H42&gt;=50,"CONSIDERAR","NO")</f>
        <v>CONSIDERAR</v>
      </c>
    </row>
    <row r="43" spans="2:9" s="41" customFormat="1" ht="30.75" thickBot="1" x14ac:dyDescent="0.3">
      <c r="B43" s="40" t="s">
        <v>151</v>
      </c>
      <c r="C43" s="40" t="s">
        <v>127</v>
      </c>
      <c r="D43" s="27" t="s">
        <v>166</v>
      </c>
      <c r="E43" s="32" t="s">
        <v>152</v>
      </c>
      <c r="F43" s="24">
        <v>10</v>
      </c>
      <c r="G43" s="24">
        <v>8</v>
      </c>
      <c r="H43" s="7">
        <f>G43/F43*100</f>
        <v>80</v>
      </c>
      <c r="I43" s="31" t="str">
        <f>IF(H43&gt;=50,"CONSIDERAR","NO")</f>
        <v>CONSIDERAR</v>
      </c>
    </row>
    <row r="44" spans="2:9" s="42" customFormat="1" ht="9.9499999999999993" customHeight="1" x14ac:dyDescent="0.25">
      <c r="B44" s="57"/>
      <c r="C44" s="57"/>
      <c r="D44" s="57"/>
      <c r="E44" s="57"/>
      <c r="F44" s="57"/>
      <c r="G44" s="57"/>
      <c r="I44" s="27"/>
    </row>
    <row r="45" spans="2:9" ht="30" customHeight="1" x14ac:dyDescent="0.25">
      <c r="B45" s="83" t="s">
        <v>87</v>
      </c>
      <c r="C45" s="84"/>
      <c r="D45" s="85" t="s">
        <v>138</v>
      </c>
      <c r="E45" s="86"/>
      <c r="F45" s="86"/>
      <c r="G45" s="86"/>
      <c r="I45" s="27"/>
    </row>
    <row r="46" spans="2:9" ht="9.9499999999999993" customHeight="1" x14ac:dyDescent="0.25">
      <c r="B46" s="89"/>
      <c r="C46" s="89"/>
      <c r="D46" s="89"/>
      <c r="E46" s="89"/>
      <c r="F46" s="89"/>
      <c r="G46" s="89"/>
      <c r="I46" s="27"/>
    </row>
    <row r="47" spans="2:9" ht="42.95" customHeight="1" x14ac:dyDescent="0.25">
      <c r="B47" s="15" t="s">
        <v>0</v>
      </c>
      <c r="C47" s="15" t="s">
        <v>3</v>
      </c>
      <c r="D47" s="15" t="s">
        <v>4</v>
      </c>
      <c r="E47" s="15" t="s">
        <v>5</v>
      </c>
      <c r="F47" s="15" t="s">
        <v>6</v>
      </c>
      <c r="G47" s="15" t="s">
        <v>7</v>
      </c>
      <c r="H47" s="15" t="s">
        <v>8</v>
      </c>
      <c r="I47" s="5" t="s">
        <v>149</v>
      </c>
    </row>
    <row r="48" spans="2:9" s="41" customFormat="1" ht="36.75" thickBot="1" x14ac:dyDescent="0.3">
      <c r="B48" s="39" t="s">
        <v>119</v>
      </c>
      <c r="C48" s="40" t="s">
        <v>128</v>
      </c>
      <c r="D48" s="27" t="s">
        <v>167</v>
      </c>
      <c r="E48" s="32" t="s">
        <v>97</v>
      </c>
      <c r="F48" s="24">
        <v>2</v>
      </c>
      <c r="G48" s="24">
        <v>1</v>
      </c>
      <c r="H48" s="7">
        <f>G48/F48*100</f>
        <v>50</v>
      </c>
      <c r="I48" s="31" t="str">
        <f>IF(H48&gt;=50,"CONSIDERAR","NO")</f>
        <v>CONSIDERAR</v>
      </c>
    </row>
    <row r="49" spans="2:9" ht="9.9499999999999993" customHeight="1" x14ac:dyDescent="0.25">
      <c r="I49" s="27"/>
    </row>
    <row r="50" spans="2:9" ht="30" customHeight="1" x14ac:dyDescent="0.25">
      <c r="B50" s="90" t="s">
        <v>11</v>
      </c>
      <c r="C50" s="90"/>
      <c r="D50" s="91" t="s">
        <v>120</v>
      </c>
      <c r="E50" s="91"/>
      <c r="F50" s="91"/>
      <c r="G50" s="91"/>
      <c r="I50" s="27"/>
    </row>
    <row r="51" spans="2:9" ht="9.9499999999999993" customHeight="1" x14ac:dyDescent="0.25">
      <c r="B51" s="56"/>
      <c r="C51" s="56"/>
      <c r="D51" s="56"/>
      <c r="E51" s="56"/>
      <c r="F51" s="56"/>
      <c r="G51" s="56"/>
      <c r="I51" s="27"/>
    </row>
    <row r="52" spans="2:9" ht="30" customHeight="1" x14ac:dyDescent="0.25">
      <c r="B52" s="90" t="s">
        <v>88</v>
      </c>
      <c r="C52" s="90"/>
      <c r="D52" s="88" t="s">
        <v>146</v>
      </c>
      <c r="E52" s="88"/>
      <c r="F52" s="88"/>
      <c r="G52" s="88"/>
      <c r="I52" s="27"/>
    </row>
    <row r="53" spans="2:9" ht="9.9499999999999993" customHeight="1" x14ac:dyDescent="0.25">
      <c r="B53" s="56"/>
      <c r="C53" s="56"/>
      <c r="D53" s="56"/>
      <c r="E53" s="56"/>
      <c r="F53" s="56"/>
      <c r="G53" s="56"/>
      <c r="I53" s="27"/>
    </row>
    <row r="54" spans="2:9" ht="42.95" customHeight="1" x14ac:dyDescent="0.25">
      <c r="B54" s="15" t="s">
        <v>0</v>
      </c>
      <c r="C54" s="15" t="s">
        <v>3</v>
      </c>
      <c r="D54" s="15" t="s">
        <v>4</v>
      </c>
      <c r="E54" s="15" t="s">
        <v>5</v>
      </c>
      <c r="F54" s="15" t="s">
        <v>6</v>
      </c>
      <c r="G54" s="15" t="s">
        <v>7</v>
      </c>
      <c r="H54" s="15" t="s">
        <v>8</v>
      </c>
      <c r="I54" s="5" t="s">
        <v>149</v>
      </c>
    </row>
    <row r="55" spans="2:9" s="22" customFormat="1" ht="43.15" customHeight="1" x14ac:dyDescent="0.25">
      <c r="B55" s="40" t="s">
        <v>147</v>
      </c>
      <c r="C55" s="40" t="s">
        <v>148</v>
      </c>
      <c r="D55" s="38"/>
      <c r="E55" s="40"/>
      <c r="F55" s="30"/>
      <c r="G55" s="30"/>
      <c r="H55" s="7" t="e">
        <f>G55/F55*100</f>
        <v>#DIV/0!</v>
      </c>
      <c r="I55" s="31" t="e">
        <f>IF(H55&gt;=50,"CONSIDERAR","NO")</f>
        <v>#DIV/0!</v>
      </c>
    </row>
    <row r="56" spans="2:9" ht="9.9499999999999993" customHeight="1" x14ac:dyDescent="0.25">
      <c r="B56" s="56"/>
      <c r="C56" s="56"/>
      <c r="D56" s="56"/>
      <c r="E56" s="56"/>
      <c r="F56" s="56"/>
      <c r="G56" s="56"/>
      <c r="I56" s="27"/>
    </row>
    <row r="57" spans="2:9" ht="30" customHeight="1" x14ac:dyDescent="0.25">
      <c r="B57" s="90" t="s">
        <v>89</v>
      </c>
      <c r="C57" s="90"/>
      <c r="D57" s="65" t="s">
        <v>139</v>
      </c>
      <c r="E57" s="65"/>
      <c r="F57" s="65"/>
      <c r="G57" s="65"/>
      <c r="I57" s="27"/>
    </row>
    <row r="58" spans="2:9" ht="9.9499999999999993" customHeight="1" x14ac:dyDescent="0.25">
      <c r="B58" s="56"/>
      <c r="C58" s="56"/>
      <c r="D58" s="56"/>
      <c r="E58" s="56"/>
      <c r="F58" s="56"/>
      <c r="G58" s="56"/>
      <c r="I58" s="27"/>
    </row>
    <row r="59" spans="2:9" ht="42.95" customHeight="1" x14ac:dyDescent="0.25">
      <c r="B59" s="37" t="s">
        <v>0</v>
      </c>
      <c r="C59" s="37" t="s">
        <v>3</v>
      </c>
      <c r="D59" s="37" t="s">
        <v>4</v>
      </c>
      <c r="E59" s="37" t="s">
        <v>5</v>
      </c>
      <c r="F59" s="37" t="s">
        <v>6</v>
      </c>
      <c r="G59" s="37" t="s">
        <v>7</v>
      </c>
      <c r="H59" s="37" t="s">
        <v>8</v>
      </c>
      <c r="I59" s="5" t="s">
        <v>149</v>
      </c>
    </row>
    <row r="60" spans="2:9" ht="30.75" thickBot="1" x14ac:dyDescent="0.3">
      <c r="B60" s="40" t="s">
        <v>140</v>
      </c>
      <c r="C60" s="40" t="s">
        <v>141</v>
      </c>
      <c r="D60" s="27" t="s">
        <v>168</v>
      </c>
      <c r="E60" s="32" t="s">
        <v>152</v>
      </c>
      <c r="F60" s="24">
        <v>1</v>
      </c>
      <c r="G60" s="24">
        <v>1</v>
      </c>
      <c r="H60" s="7">
        <f>G60/F60*100</f>
        <v>100</v>
      </c>
      <c r="I60" s="31" t="str">
        <f>IF(H60&gt;=50,"CONSIDERAR","NO")</f>
        <v>CONSIDERAR</v>
      </c>
    </row>
    <row r="61" spans="2:9" ht="9.9499999999999993" customHeight="1" x14ac:dyDescent="0.25">
      <c r="B61" s="57"/>
      <c r="C61" s="57"/>
      <c r="D61" s="57"/>
      <c r="E61" s="57"/>
      <c r="F61" s="57"/>
      <c r="G61" s="57"/>
      <c r="I61" s="27"/>
    </row>
    <row r="62" spans="2:9" ht="39.950000000000003" customHeight="1" x14ac:dyDescent="0.25">
      <c r="B62" s="92" t="s">
        <v>13</v>
      </c>
      <c r="C62" s="92"/>
      <c r="D62" s="88" t="s">
        <v>142</v>
      </c>
      <c r="E62" s="88"/>
      <c r="F62" s="88"/>
      <c r="G62" s="88"/>
      <c r="I62" s="27"/>
    </row>
    <row r="63" spans="2:9" ht="9.9499999999999993" customHeight="1" x14ac:dyDescent="0.25">
      <c r="B63" s="56"/>
      <c r="C63" s="56"/>
      <c r="D63" s="56"/>
      <c r="E63" s="56"/>
      <c r="F63" s="56"/>
      <c r="G63" s="56"/>
      <c r="I63" s="27"/>
    </row>
    <row r="64" spans="2:9" ht="30" customHeight="1" x14ac:dyDescent="0.25">
      <c r="B64" s="92" t="s">
        <v>90</v>
      </c>
      <c r="C64" s="92"/>
      <c r="D64" s="65" t="s">
        <v>143</v>
      </c>
      <c r="E64" s="65"/>
      <c r="F64" s="65"/>
      <c r="G64" s="65"/>
      <c r="I64" s="27"/>
    </row>
    <row r="65" spans="2:9" ht="9.9499999999999993" customHeight="1" x14ac:dyDescent="0.25">
      <c r="B65" s="56"/>
      <c r="C65" s="56"/>
      <c r="D65" s="56"/>
      <c r="E65" s="56"/>
      <c r="F65" s="56"/>
      <c r="G65" s="56"/>
      <c r="I65" s="27"/>
    </row>
    <row r="66" spans="2:9" ht="39.950000000000003" customHeight="1" x14ac:dyDescent="0.25">
      <c r="B66" s="15" t="s">
        <v>0</v>
      </c>
      <c r="C66" s="15" t="s">
        <v>3</v>
      </c>
      <c r="D66" s="15" t="s">
        <v>4</v>
      </c>
      <c r="E66" s="15" t="s">
        <v>5</v>
      </c>
      <c r="F66" s="15" t="s">
        <v>6</v>
      </c>
      <c r="G66" s="15" t="s">
        <v>7</v>
      </c>
      <c r="H66" s="15" t="s">
        <v>8</v>
      </c>
      <c r="I66" s="5" t="s">
        <v>149</v>
      </c>
    </row>
    <row r="67" spans="2:9" ht="72.75" thickBot="1" x14ac:dyDescent="0.3">
      <c r="B67" s="40" t="s">
        <v>121</v>
      </c>
      <c r="C67" s="40" t="s">
        <v>129</v>
      </c>
      <c r="D67" s="27" t="s">
        <v>169</v>
      </c>
      <c r="E67" s="32" t="s">
        <v>152</v>
      </c>
      <c r="F67" s="24">
        <v>1</v>
      </c>
      <c r="G67" s="24">
        <v>1</v>
      </c>
      <c r="H67" s="7">
        <f>G67/F67*100</f>
        <v>100</v>
      </c>
      <c r="I67" s="31" t="str">
        <f>IF(H67&gt;=50,"CONSIDERAR","NO")</f>
        <v>CONSIDERAR</v>
      </c>
    </row>
    <row r="68" spans="2:9" ht="30" customHeight="1" x14ac:dyDescent="0.25"/>
    <row r="69" spans="2:9" ht="30" customHeight="1" x14ac:dyDescent="0.25"/>
    <row r="70" spans="2:9" ht="30" customHeight="1" x14ac:dyDescent="0.25"/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</sheetData>
  <mergeCells count="57">
    <mergeCell ref="B65:G65"/>
    <mergeCell ref="B53:G53"/>
    <mergeCell ref="B56:G56"/>
    <mergeCell ref="B57:C57"/>
    <mergeCell ref="D57:G57"/>
    <mergeCell ref="B58:G58"/>
    <mergeCell ref="B61:G61"/>
    <mergeCell ref="B62:C62"/>
    <mergeCell ref="D62:G62"/>
    <mergeCell ref="B63:G63"/>
    <mergeCell ref="B64:C64"/>
    <mergeCell ref="D64:G64"/>
    <mergeCell ref="B46:G46"/>
    <mergeCell ref="B50:C50"/>
    <mergeCell ref="D50:G50"/>
    <mergeCell ref="B51:G51"/>
    <mergeCell ref="B52:C52"/>
    <mergeCell ref="D52:G52"/>
    <mergeCell ref="B45:C45"/>
    <mergeCell ref="D45:G45"/>
    <mergeCell ref="B20:C20"/>
    <mergeCell ref="D20:G20"/>
    <mergeCell ref="B21:G21"/>
    <mergeCell ref="B36:G36"/>
    <mergeCell ref="B37:C37"/>
    <mergeCell ref="D37:G37"/>
    <mergeCell ref="B38:G38"/>
    <mergeCell ref="B39:C39"/>
    <mergeCell ref="D39:G39"/>
    <mergeCell ref="B40:G40"/>
    <mergeCell ref="B44:G44"/>
    <mergeCell ref="B19:G19"/>
    <mergeCell ref="O8:Q8"/>
    <mergeCell ref="O9:Q9"/>
    <mergeCell ref="O10:Q10"/>
    <mergeCell ref="B12:G12"/>
    <mergeCell ref="B13:C13"/>
    <mergeCell ref="D13:G13"/>
    <mergeCell ref="P13:V13"/>
    <mergeCell ref="B14:G14"/>
    <mergeCell ref="P15:R15"/>
    <mergeCell ref="B17:G17"/>
    <mergeCell ref="B18:C18"/>
    <mergeCell ref="D18:G18"/>
    <mergeCell ref="B7:G7"/>
    <mergeCell ref="B1:G1"/>
    <mergeCell ref="B2:G2"/>
    <mergeCell ref="O2:P2"/>
    <mergeCell ref="B3:G3"/>
    <mergeCell ref="B4:C4"/>
    <mergeCell ref="D4:G4"/>
    <mergeCell ref="P4:Q4"/>
    <mergeCell ref="B5:G5"/>
    <mergeCell ref="B6:C6"/>
    <mergeCell ref="D6:G6"/>
    <mergeCell ref="K6:M6"/>
    <mergeCell ref="P6:Q6"/>
  </mergeCells>
  <conditionalFormatting sqref="H9:H11">
    <cfRule type="cellIs" dxfId="125" priority="22" operator="lessThan">
      <formula>75</formula>
    </cfRule>
    <cfRule type="cellIs" dxfId="124" priority="23" operator="between">
      <formula>75</formula>
      <formula>94</formula>
    </cfRule>
    <cfRule type="cellIs" dxfId="123" priority="24" operator="greaterThanOrEqual">
      <formula>95</formula>
    </cfRule>
  </conditionalFormatting>
  <conditionalFormatting sqref="H16">
    <cfRule type="cellIs" dxfId="122" priority="19" operator="lessThan">
      <formula>75</formula>
    </cfRule>
    <cfRule type="cellIs" dxfId="121" priority="20" operator="between">
      <formula>75</formula>
      <formula>94</formula>
    </cfRule>
    <cfRule type="cellIs" dxfId="120" priority="21" operator="greaterThanOrEqual">
      <formula>95</formula>
    </cfRule>
  </conditionalFormatting>
  <conditionalFormatting sqref="H23:H35">
    <cfRule type="cellIs" dxfId="119" priority="16" operator="lessThan">
      <formula>75</formula>
    </cfRule>
    <cfRule type="cellIs" dxfId="118" priority="17" operator="between">
      <formula>75</formula>
      <formula>94</formula>
    </cfRule>
    <cfRule type="cellIs" dxfId="117" priority="18" operator="greaterThanOrEqual">
      <formula>95</formula>
    </cfRule>
  </conditionalFormatting>
  <conditionalFormatting sqref="H42:H43">
    <cfRule type="cellIs" dxfId="116" priority="13" operator="lessThan">
      <formula>75</formula>
    </cfRule>
    <cfRule type="cellIs" dxfId="115" priority="14" operator="between">
      <formula>75</formula>
      <formula>94</formula>
    </cfRule>
    <cfRule type="cellIs" dxfId="114" priority="15" operator="greaterThanOrEqual">
      <formula>95</formula>
    </cfRule>
  </conditionalFormatting>
  <conditionalFormatting sqref="H48">
    <cfRule type="cellIs" dxfId="113" priority="10" operator="lessThan">
      <formula>75</formula>
    </cfRule>
    <cfRule type="cellIs" dxfId="112" priority="11" operator="between">
      <formula>75</formula>
      <formula>94</formula>
    </cfRule>
    <cfRule type="cellIs" dxfId="111" priority="12" operator="greaterThanOrEqual">
      <formula>95</formula>
    </cfRule>
  </conditionalFormatting>
  <conditionalFormatting sqref="H55">
    <cfRule type="cellIs" dxfId="110" priority="7" operator="lessThan">
      <formula>75</formula>
    </cfRule>
    <cfRule type="cellIs" dxfId="109" priority="8" operator="between">
      <formula>75</formula>
      <formula>94</formula>
    </cfRule>
    <cfRule type="cellIs" dxfId="108" priority="9" operator="greaterThanOrEqual">
      <formula>95</formula>
    </cfRule>
  </conditionalFormatting>
  <conditionalFormatting sqref="H60">
    <cfRule type="cellIs" dxfId="107" priority="4" operator="lessThan">
      <formula>75</formula>
    </cfRule>
    <cfRule type="cellIs" dxfId="106" priority="5" operator="between">
      <formula>75</formula>
      <formula>94</formula>
    </cfRule>
    <cfRule type="cellIs" dxfId="105" priority="6" operator="greaterThanOrEqual">
      <formula>95</formula>
    </cfRule>
  </conditionalFormatting>
  <conditionalFormatting sqref="H67">
    <cfRule type="cellIs" dxfId="104" priority="1" operator="lessThan">
      <formula>75</formula>
    </cfRule>
    <cfRule type="cellIs" dxfId="103" priority="2" operator="between">
      <formula>75</formula>
      <formula>94</formula>
    </cfRule>
    <cfRule type="cellIs" dxfId="102" priority="3" operator="greaterThanOrEqual">
      <formula>95</formula>
    </cfRule>
  </conditionalFormatting>
  <pageMargins left="0.7" right="0.7" top="0.75" bottom="0.75" header="0.3" footer="0.3"/>
  <pageSetup paperSize="9" scale="60" orientation="portrait" r:id="rId1"/>
  <headerFooter>
    <oddHeader>&amp;CEste documento tiene carácter de Declaración Jurada</oddHeader>
    <oddFooter>&amp;CEste documento tiene carácter de Declaración Jurada</oddFooter>
  </headerFooter>
  <colBreaks count="1" manualBreakCount="1">
    <brk id="7" max="6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FA5F-F60F-4FC6-B767-D2F04386D2A6}">
  <dimension ref="B1:V607"/>
  <sheetViews>
    <sheetView tabSelected="1" zoomScale="85" zoomScaleNormal="85" workbookViewId="0">
      <selection activeCell="E11" sqref="E11"/>
    </sheetView>
  </sheetViews>
  <sheetFormatPr baseColWidth="10" defaultColWidth="11.42578125" defaultRowHeight="15" x14ac:dyDescent="0.25"/>
  <cols>
    <col min="1" max="1" width="10.7109375" style="44" customWidth="1"/>
    <col min="2" max="2" width="35.7109375" style="44" customWidth="1"/>
    <col min="3" max="4" width="25.7109375" style="44" customWidth="1"/>
    <col min="5" max="7" width="15.7109375" style="44" customWidth="1"/>
    <col min="8" max="8" width="15.7109375" style="44" hidden="1" customWidth="1"/>
    <col min="9" max="9" width="16.85546875" style="44" hidden="1" customWidth="1"/>
    <col min="10" max="12" width="11.42578125" style="44"/>
    <col min="13" max="13" width="16.7109375" style="44" customWidth="1"/>
    <col min="14" max="14" width="11.42578125" style="44"/>
    <col min="15" max="15" width="12.28515625" style="44" hidden="1" customWidth="1"/>
    <col min="16" max="16" width="11.85546875" style="44" hidden="1" customWidth="1"/>
    <col min="17" max="22" width="11.42578125" style="44" hidden="1" customWidth="1"/>
    <col min="23" max="16384" width="11.42578125" style="44"/>
  </cols>
  <sheetData>
    <row r="1" spans="2:22" ht="9.9499999999999993" customHeight="1" x14ac:dyDescent="0.25">
      <c r="B1" s="57"/>
      <c r="C1" s="57"/>
      <c r="D1" s="57"/>
      <c r="E1" s="57"/>
      <c r="F1" s="57"/>
      <c r="G1" s="57"/>
    </row>
    <row r="2" spans="2:22" ht="39.950000000000003" customHeight="1" x14ac:dyDescent="0.25">
      <c r="B2" s="58" t="s">
        <v>171</v>
      </c>
      <c r="C2" s="59"/>
      <c r="D2" s="59"/>
      <c r="E2" s="59"/>
      <c r="F2" s="59"/>
      <c r="G2" s="59"/>
      <c r="O2" s="60" t="s">
        <v>77</v>
      </c>
      <c r="P2" s="60"/>
    </row>
    <row r="3" spans="2:22" ht="9.9499999999999993" customHeight="1" x14ac:dyDescent="0.25">
      <c r="B3" s="61"/>
      <c r="C3" s="61"/>
      <c r="D3" s="61"/>
      <c r="E3" s="61"/>
      <c r="F3" s="61"/>
      <c r="G3" s="61"/>
    </row>
    <row r="4" spans="2:22" ht="39.950000000000003" customHeight="1" x14ac:dyDescent="0.25">
      <c r="B4" s="59" t="s">
        <v>2</v>
      </c>
      <c r="C4" s="59"/>
      <c r="D4" s="62" t="s">
        <v>144</v>
      </c>
      <c r="E4" s="63"/>
      <c r="F4" s="63"/>
      <c r="G4" s="63"/>
      <c r="O4" s="45" t="s">
        <v>78</v>
      </c>
      <c r="P4" s="64" t="s">
        <v>79</v>
      </c>
      <c r="Q4" s="64"/>
    </row>
    <row r="5" spans="2:22" ht="9.9499999999999993" customHeight="1" x14ac:dyDescent="0.25">
      <c r="B5" s="61"/>
      <c r="C5" s="61"/>
      <c r="D5" s="61"/>
      <c r="E5" s="61"/>
      <c r="F5" s="61"/>
      <c r="G5" s="61"/>
    </row>
    <row r="6" spans="2:22" ht="30" customHeight="1" x14ac:dyDescent="0.25">
      <c r="B6" s="59" t="s">
        <v>59</v>
      </c>
      <c r="C6" s="59"/>
      <c r="D6" s="65" t="s">
        <v>136</v>
      </c>
      <c r="E6" s="65"/>
      <c r="F6" s="65"/>
      <c r="G6" s="65"/>
      <c r="K6" s="66" t="s">
        <v>91</v>
      </c>
      <c r="L6" s="67"/>
      <c r="M6" s="68"/>
      <c r="O6" s="18" t="s">
        <v>80</v>
      </c>
      <c r="P6" s="64" t="s">
        <v>84</v>
      </c>
      <c r="Q6" s="64"/>
    </row>
    <row r="7" spans="2:22" ht="9.9499999999999993" customHeight="1" x14ac:dyDescent="0.25">
      <c r="B7" s="56"/>
      <c r="C7" s="56"/>
      <c r="D7" s="56"/>
      <c r="E7" s="56"/>
      <c r="F7" s="56"/>
      <c r="G7" s="56"/>
      <c r="O7" s="19"/>
      <c r="P7" s="20"/>
      <c r="Q7" s="21"/>
    </row>
    <row r="8" spans="2:22" s="49" customFormat="1" ht="45" x14ac:dyDescent="0.25">
      <c r="B8" s="46" t="s">
        <v>0</v>
      </c>
      <c r="C8" s="46" t="s">
        <v>3</v>
      </c>
      <c r="D8" s="46" t="s">
        <v>4</v>
      </c>
      <c r="E8" s="46" t="s">
        <v>5</v>
      </c>
      <c r="F8" s="46" t="s">
        <v>6</v>
      </c>
      <c r="G8" s="46" t="s">
        <v>7</v>
      </c>
      <c r="H8" s="46" t="s">
        <v>8</v>
      </c>
      <c r="I8" s="51" t="s">
        <v>149</v>
      </c>
      <c r="K8" s="46" t="s">
        <v>69</v>
      </c>
      <c r="L8" s="46" t="s">
        <v>70</v>
      </c>
      <c r="M8" s="46" t="s">
        <v>71</v>
      </c>
      <c r="O8" s="69" t="s">
        <v>81</v>
      </c>
      <c r="P8" s="70"/>
      <c r="Q8" s="71"/>
      <c r="R8" s="23"/>
    </row>
    <row r="9" spans="2:22" ht="24.75" thickBot="1" x14ac:dyDescent="0.3">
      <c r="B9" s="39" t="s">
        <v>145</v>
      </c>
      <c r="C9" s="40" t="s">
        <v>133</v>
      </c>
      <c r="D9" s="55" t="s">
        <v>184</v>
      </c>
      <c r="E9" s="32" t="s">
        <v>152</v>
      </c>
      <c r="F9" s="48">
        <v>1</v>
      </c>
      <c r="G9" s="48">
        <v>1</v>
      </c>
      <c r="H9" s="7">
        <f>G9/F9*100</f>
        <v>100</v>
      </c>
      <c r="I9" s="31" t="str">
        <f>IF(H9&gt;=50,"CONSIDERAR","NO")</f>
        <v>CONSIDERAR</v>
      </c>
      <c r="K9" s="13">
        <f>COUNT(F9:F11)+COUNT(F16:F16)+COUNT(#REF!)+COUNT(F23:F24)+COUNT(F25)+COUNT(#REF!)+COUNT(F55:F55)+COUNT(#REF!)+COUNT(F67:F67)+COUNT(F26:F27)+COUNT(F28:F35)+COUNT(F48:F48)+COUNT(F42:F43)+COUNT(#REF!)+COUNT(#REF!)+COUNT(F60:F60)+COUNT(#REF!)</f>
        <v>14</v>
      </c>
      <c r="L9" s="13">
        <f>COUNTIF(I9:I67,"CONSIDERAR")</f>
        <v>14</v>
      </c>
      <c r="M9" s="17"/>
      <c r="O9" s="72" t="s">
        <v>83</v>
      </c>
      <c r="P9" s="73"/>
      <c r="Q9" s="74"/>
    </row>
    <row r="10" spans="2:22" ht="36" x14ac:dyDescent="0.25">
      <c r="B10" s="39" t="s">
        <v>130</v>
      </c>
      <c r="C10" s="40" t="s">
        <v>131</v>
      </c>
      <c r="D10" s="50"/>
      <c r="E10" s="40"/>
      <c r="F10" s="48"/>
      <c r="G10" s="48"/>
      <c r="H10" s="7" t="e">
        <f t="shared" ref="H10:H11" si="0">G10/F10*100</f>
        <v>#DIV/0!</v>
      </c>
      <c r="I10" s="31" t="e">
        <f t="shared" ref="I10:I11" si="1">IF(H10&gt;=50,"CONSIDERAR","NO")</f>
        <v>#DIV/0!</v>
      </c>
      <c r="O10" s="75" t="s">
        <v>82</v>
      </c>
      <c r="P10" s="76"/>
      <c r="Q10" s="77"/>
    </row>
    <row r="11" spans="2:22" ht="48.75" thickBot="1" x14ac:dyDescent="0.3">
      <c r="B11" s="39" t="s">
        <v>132</v>
      </c>
      <c r="C11" s="40" t="s">
        <v>133</v>
      </c>
      <c r="D11" s="50" t="s">
        <v>183</v>
      </c>
      <c r="E11" s="32" t="s">
        <v>152</v>
      </c>
      <c r="F11" s="48">
        <v>1</v>
      </c>
      <c r="G11" s="48">
        <v>1</v>
      </c>
      <c r="H11" s="7">
        <f t="shared" si="0"/>
        <v>100</v>
      </c>
      <c r="I11" s="31" t="str">
        <f t="shared" si="1"/>
        <v>CONSIDERAR</v>
      </c>
    </row>
    <row r="12" spans="2:22" ht="9.9499999999999993" customHeight="1" x14ac:dyDescent="0.25">
      <c r="B12" s="78"/>
      <c r="C12" s="78"/>
      <c r="D12" s="78"/>
      <c r="E12" s="78"/>
      <c r="F12" s="78"/>
      <c r="G12" s="78"/>
      <c r="I12" s="27"/>
      <c r="O12" s="47"/>
    </row>
    <row r="13" spans="2:22" ht="30" customHeight="1" x14ac:dyDescent="0.25">
      <c r="B13" s="79" t="s">
        <v>60</v>
      </c>
      <c r="C13" s="79"/>
      <c r="D13" s="80" t="s">
        <v>137</v>
      </c>
      <c r="E13" s="80"/>
      <c r="F13" s="80"/>
      <c r="G13" s="80"/>
      <c r="I13" s="27"/>
      <c r="O13" s="45" t="s">
        <v>73</v>
      </c>
      <c r="P13" s="81" t="s">
        <v>75</v>
      </c>
      <c r="Q13" s="81"/>
      <c r="R13" s="81"/>
      <c r="S13" s="81"/>
      <c r="T13" s="81"/>
      <c r="U13" s="81"/>
      <c r="V13" s="81"/>
    </row>
    <row r="14" spans="2:22" ht="9.9499999999999993" customHeight="1" x14ac:dyDescent="0.25">
      <c r="B14" s="56"/>
      <c r="C14" s="56"/>
      <c r="D14" s="56"/>
      <c r="E14" s="56"/>
      <c r="F14" s="56"/>
      <c r="G14" s="56"/>
      <c r="I14" s="27"/>
      <c r="O14" s="47"/>
    </row>
    <row r="15" spans="2:22" ht="45" customHeight="1" x14ac:dyDescent="0.25">
      <c r="B15" s="26" t="s">
        <v>0</v>
      </c>
      <c r="C15" s="26" t="s">
        <v>3</v>
      </c>
      <c r="D15" s="26" t="s">
        <v>4</v>
      </c>
      <c r="E15" s="26" t="s">
        <v>5</v>
      </c>
      <c r="F15" s="26" t="s">
        <v>6</v>
      </c>
      <c r="G15" s="26" t="s">
        <v>7</v>
      </c>
      <c r="H15" s="46" t="s">
        <v>8</v>
      </c>
      <c r="I15" s="51" t="s">
        <v>149</v>
      </c>
      <c r="O15" s="45" t="s">
        <v>70</v>
      </c>
      <c r="P15" s="64" t="s">
        <v>72</v>
      </c>
      <c r="Q15" s="64"/>
      <c r="R15" s="64"/>
    </row>
    <row r="16" spans="2:22" ht="24" x14ac:dyDescent="0.25">
      <c r="B16" s="40" t="s">
        <v>134</v>
      </c>
      <c r="C16" s="40" t="s">
        <v>135</v>
      </c>
      <c r="D16" s="50"/>
      <c r="E16" s="40"/>
      <c r="F16" s="48"/>
      <c r="G16" s="48"/>
      <c r="H16" s="7" t="e">
        <f>G16/F16*100</f>
        <v>#DIV/0!</v>
      </c>
      <c r="I16" s="31" t="e">
        <f>IF(H16&gt;=50,"CONSIDERAR","NO")</f>
        <v>#DIV/0!</v>
      </c>
    </row>
    <row r="17" spans="2:9" ht="9.9499999999999993" customHeight="1" x14ac:dyDescent="0.25">
      <c r="B17" s="56"/>
      <c r="C17" s="56"/>
      <c r="D17" s="56"/>
      <c r="E17" s="56"/>
      <c r="F17" s="56"/>
      <c r="G17" s="56"/>
      <c r="I17" s="27"/>
    </row>
    <row r="18" spans="2:9" ht="39.950000000000003" customHeight="1" x14ac:dyDescent="0.25">
      <c r="B18" s="82" t="s">
        <v>9</v>
      </c>
      <c r="C18" s="82"/>
      <c r="D18" s="62" t="s">
        <v>92</v>
      </c>
      <c r="E18" s="63"/>
      <c r="F18" s="63"/>
      <c r="G18" s="63"/>
      <c r="I18" s="27"/>
    </row>
    <row r="19" spans="2:9" ht="9.9499999999999993" customHeight="1" x14ac:dyDescent="0.25">
      <c r="B19" s="56"/>
      <c r="C19" s="56"/>
      <c r="D19" s="56"/>
      <c r="E19" s="56"/>
      <c r="F19" s="56"/>
      <c r="G19" s="56"/>
      <c r="I19" s="27"/>
    </row>
    <row r="20" spans="2:9" ht="30" customHeight="1" x14ac:dyDescent="0.25">
      <c r="B20" s="82" t="s">
        <v>62</v>
      </c>
      <c r="C20" s="82"/>
      <c r="D20" s="65" t="s">
        <v>93</v>
      </c>
      <c r="E20" s="65"/>
      <c r="F20" s="65"/>
      <c r="G20" s="65"/>
      <c r="I20" s="27"/>
    </row>
    <row r="21" spans="2:9" ht="9.9499999999999993" customHeight="1" x14ac:dyDescent="0.25">
      <c r="B21" s="56"/>
      <c r="C21" s="56"/>
      <c r="D21" s="56"/>
      <c r="E21" s="56"/>
      <c r="F21" s="56"/>
      <c r="G21" s="56"/>
      <c r="I21" s="27"/>
    </row>
    <row r="22" spans="2:9" ht="45" customHeight="1" x14ac:dyDescent="0.25">
      <c r="B22" s="46" t="s">
        <v>0</v>
      </c>
      <c r="C22" s="46" t="s">
        <v>3</v>
      </c>
      <c r="D22" s="46" t="s">
        <v>4</v>
      </c>
      <c r="E22" s="46" t="s">
        <v>5</v>
      </c>
      <c r="F22" s="46" t="s">
        <v>6</v>
      </c>
      <c r="G22" s="46" t="s">
        <v>7</v>
      </c>
      <c r="H22" s="46" t="s">
        <v>8</v>
      </c>
      <c r="I22" s="51" t="s">
        <v>149</v>
      </c>
    </row>
    <row r="23" spans="2:9" ht="30" x14ac:dyDescent="0.25">
      <c r="B23" s="40" t="s">
        <v>94</v>
      </c>
      <c r="C23" s="40" t="s">
        <v>122</v>
      </c>
      <c r="D23" s="30" t="s">
        <v>182</v>
      </c>
      <c r="E23" s="36" t="s">
        <v>97</v>
      </c>
      <c r="F23" s="48">
        <v>1</v>
      </c>
      <c r="G23" s="48">
        <v>1</v>
      </c>
      <c r="H23" s="7">
        <f>G23/F23*100</f>
        <v>100</v>
      </c>
      <c r="I23" s="31" t="s">
        <v>76</v>
      </c>
    </row>
    <row r="24" spans="2:9" x14ac:dyDescent="0.25">
      <c r="B24" s="40" t="s">
        <v>96</v>
      </c>
      <c r="C24" s="40" t="s">
        <v>122</v>
      </c>
      <c r="D24" s="30"/>
      <c r="E24" s="36" t="s">
        <v>97</v>
      </c>
      <c r="F24" s="48">
        <v>1</v>
      </c>
      <c r="G24" s="48">
        <v>1</v>
      </c>
      <c r="H24" s="7">
        <f t="shared" ref="H24:H35" si="2">G24/F24*100</f>
        <v>100</v>
      </c>
      <c r="I24" s="31" t="str">
        <f t="shared" ref="I24:I35" si="3">IF(H24&gt;=50,"CONSIDERAR","NO")</f>
        <v>CONSIDERAR</v>
      </c>
    </row>
    <row r="25" spans="2:9" ht="30" x14ac:dyDescent="0.25">
      <c r="B25" s="40" t="s">
        <v>98</v>
      </c>
      <c r="C25" s="40" t="s">
        <v>123</v>
      </c>
      <c r="D25" s="27" t="s">
        <v>172</v>
      </c>
      <c r="E25" s="36" t="s">
        <v>153</v>
      </c>
      <c r="F25" s="48">
        <v>1</v>
      </c>
      <c r="G25" s="48">
        <v>1</v>
      </c>
      <c r="H25" s="7">
        <f t="shared" si="2"/>
        <v>100</v>
      </c>
      <c r="I25" s="31" t="s">
        <v>76</v>
      </c>
    </row>
    <row r="26" spans="2:9" ht="36" x14ac:dyDescent="0.25">
      <c r="B26" s="39" t="s">
        <v>99</v>
      </c>
      <c r="C26" s="40" t="s">
        <v>124</v>
      </c>
      <c r="D26" s="48" t="s">
        <v>173</v>
      </c>
      <c r="E26" s="36" t="s">
        <v>100</v>
      </c>
      <c r="F26" s="48">
        <v>1</v>
      </c>
      <c r="G26" s="48">
        <v>1</v>
      </c>
      <c r="H26" s="7">
        <f t="shared" si="2"/>
        <v>100</v>
      </c>
      <c r="I26" s="31" t="s">
        <v>76</v>
      </c>
    </row>
    <row r="27" spans="2:9" ht="24" x14ac:dyDescent="0.25">
      <c r="B27" s="39" t="s">
        <v>101</v>
      </c>
      <c r="C27" s="40" t="s">
        <v>122</v>
      </c>
      <c r="D27" s="30"/>
      <c r="E27" s="36" t="s">
        <v>97</v>
      </c>
      <c r="F27" s="48"/>
      <c r="G27" s="48"/>
      <c r="H27" s="7" t="e">
        <f t="shared" si="2"/>
        <v>#DIV/0!</v>
      </c>
      <c r="I27" s="31" t="e">
        <f t="shared" si="3"/>
        <v>#DIV/0!</v>
      </c>
    </row>
    <row r="28" spans="2:9" ht="48" x14ac:dyDescent="0.25">
      <c r="B28" s="39" t="s">
        <v>102</v>
      </c>
      <c r="C28" s="40" t="s">
        <v>125</v>
      </c>
      <c r="D28" s="30" t="s">
        <v>174</v>
      </c>
      <c r="E28" s="35" t="s">
        <v>175</v>
      </c>
      <c r="F28" s="48">
        <v>1</v>
      </c>
      <c r="G28" s="48">
        <v>1</v>
      </c>
      <c r="H28" s="7">
        <f t="shared" si="2"/>
        <v>100</v>
      </c>
      <c r="I28" s="31" t="s">
        <v>76</v>
      </c>
    </row>
    <row r="29" spans="2:9" ht="36" x14ac:dyDescent="0.25">
      <c r="B29" s="39" t="s">
        <v>103</v>
      </c>
      <c r="C29" s="40" t="s">
        <v>126</v>
      </c>
      <c r="D29" s="52"/>
      <c r="E29" s="36" t="s">
        <v>104</v>
      </c>
      <c r="F29" s="48"/>
      <c r="G29" s="48"/>
      <c r="H29" s="7" t="e">
        <f t="shared" si="2"/>
        <v>#DIV/0!</v>
      </c>
      <c r="I29" s="31" t="e">
        <f t="shared" si="3"/>
        <v>#DIV/0!</v>
      </c>
    </row>
    <row r="30" spans="2:9" ht="36" x14ac:dyDescent="0.25">
      <c r="B30" s="39" t="s">
        <v>105</v>
      </c>
      <c r="C30" s="40" t="s">
        <v>126</v>
      </c>
      <c r="D30" s="52" t="s">
        <v>176</v>
      </c>
      <c r="E30" s="36" t="s">
        <v>150</v>
      </c>
      <c r="F30" s="48">
        <v>1</v>
      </c>
      <c r="G30" s="48">
        <v>1</v>
      </c>
      <c r="H30" s="7">
        <f t="shared" si="2"/>
        <v>100</v>
      </c>
      <c r="I30" s="31" t="s">
        <v>76</v>
      </c>
    </row>
    <row r="31" spans="2:9" ht="48" x14ac:dyDescent="0.25">
      <c r="B31" s="39" t="s">
        <v>107</v>
      </c>
      <c r="C31" s="40" t="s">
        <v>126</v>
      </c>
      <c r="D31" s="52" t="s">
        <v>177</v>
      </c>
      <c r="E31" s="36" t="s">
        <v>150</v>
      </c>
      <c r="F31" s="48">
        <v>1</v>
      </c>
      <c r="G31" s="48">
        <v>1</v>
      </c>
      <c r="H31" s="7">
        <f t="shared" si="2"/>
        <v>100</v>
      </c>
      <c r="I31" s="31" t="s">
        <v>76</v>
      </c>
    </row>
    <row r="32" spans="2:9" ht="48" x14ac:dyDescent="0.25">
      <c r="B32" s="39" t="s">
        <v>108</v>
      </c>
      <c r="C32" s="40" t="s">
        <v>126</v>
      </c>
      <c r="D32" s="30" t="s">
        <v>178</v>
      </c>
      <c r="E32" s="36" t="s">
        <v>106</v>
      </c>
      <c r="F32" s="48">
        <v>1</v>
      </c>
      <c r="G32" s="48">
        <v>1</v>
      </c>
      <c r="H32" s="7">
        <f t="shared" si="2"/>
        <v>100</v>
      </c>
      <c r="I32" s="31" t="s">
        <v>76</v>
      </c>
    </row>
    <row r="33" spans="2:9" ht="24" x14ac:dyDescent="0.25">
      <c r="B33" s="39" t="s">
        <v>109</v>
      </c>
      <c r="C33" s="40" t="s">
        <v>126</v>
      </c>
      <c r="D33" s="30"/>
      <c r="E33" s="36" t="s">
        <v>110</v>
      </c>
      <c r="F33" s="48"/>
      <c r="G33" s="48"/>
      <c r="H33" s="7" t="e">
        <f t="shared" si="2"/>
        <v>#DIV/0!</v>
      </c>
      <c r="I33" s="31" t="e">
        <f t="shared" si="3"/>
        <v>#DIV/0!</v>
      </c>
    </row>
    <row r="34" spans="2:9" ht="24" x14ac:dyDescent="0.25">
      <c r="B34" s="39" t="s">
        <v>111</v>
      </c>
      <c r="C34" s="40" t="s">
        <v>124</v>
      </c>
      <c r="D34" s="30"/>
      <c r="E34" s="36" t="s">
        <v>112</v>
      </c>
      <c r="F34" s="48"/>
      <c r="G34" s="48"/>
      <c r="H34" s="7" t="e">
        <f t="shared" si="2"/>
        <v>#DIV/0!</v>
      </c>
      <c r="I34" s="31" t="e">
        <f t="shared" si="3"/>
        <v>#DIV/0!</v>
      </c>
    </row>
    <row r="35" spans="2:9" x14ac:dyDescent="0.25">
      <c r="B35" s="39" t="s">
        <v>113</v>
      </c>
      <c r="C35" s="40" t="s">
        <v>122</v>
      </c>
      <c r="D35" s="48"/>
      <c r="E35" s="36" t="s">
        <v>114</v>
      </c>
      <c r="F35" s="48"/>
      <c r="G35" s="48"/>
      <c r="H35" s="7" t="e">
        <f t="shared" si="2"/>
        <v>#DIV/0!</v>
      </c>
      <c r="I35" s="31" t="e">
        <f t="shared" si="3"/>
        <v>#DIV/0!</v>
      </c>
    </row>
    <row r="36" spans="2:9" ht="9.9499999999999993" customHeight="1" x14ac:dyDescent="0.25">
      <c r="B36" s="56"/>
      <c r="C36" s="56"/>
      <c r="D36" s="56"/>
      <c r="E36" s="56"/>
      <c r="F36" s="56"/>
      <c r="G36" s="56"/>
      <c r="I36" s="27"/>
    </row>
    <row r="37" spans="2:9" ht="39.950000000000003" customHeight="1" x14ac:dyDescent="0.25">
      <c r="B37" s="87" t="s">
        <v>10</v>
      </c>
      <c r="C37" s="87"/>
      <c r="D37" s="91" t="s">
        <v>116</v>
      </c>
      <c r="E37" s="91"/>
      <c r="F37" s="91"/>
      <c r="G37" s="91"/>
      <c r="I37" s="27"/>
    </row>
    <row r="38" spans="2:9" ht="9.9499999999999993" customHeight="1" x14ac:dyDescent="0.25">
      <c r="B38" s="56"/>
      <c r="C38" s="56"/>
      <c r="D38" s="56"/>
      <c r="E38" s="56"/>
      <c r="F38" s="56"/>
      <c r="G38" s="56"/>
      <c r="I38" s="27"/>
    </row>
    <row r="39" spans="2:9" ht="30" customHeight="1" x14ac:dyDescent="0.25">
      <c r="B39" s="87" t="s">
        <v>64</v>
      </c>
      <c r="C39" s="87"/>
      <c r="D39" s="65" t="s">
        <v>117</v>
      </c>
      <c r="E39" s="65"/>
      <c r="F39" s="65"/>
      <c r="G39" s="65"/>
      <c r="I39" s="27"/>
    </row>
    <row r="40" spans="2:9" ht="9.9499999999999993" customHeight="1" x14ac:dyDescent="0.25">
      <c r="B40" s="56"/>
      <c r="C40" s="56"/>
      <c r="D40" s="56"/>
      <c r="E40" s="56"/>
      <c r="F40" s="56"/>
      <c r="G40" s="56"/>
      <c r="I40" s="27"/>
    </row>
    <row r="41" spans="2:9" ht="42.95" customHeight="1" x14ac:dyDescent="0.25">
      <c r="B41" s="46" t="s">
        <v>0</v>
      </c>
      <c r="C41" s="46" t="s">
        <v>3</v>
      </c>
      <c r="D41" s="46" t="s">
        <v>4</v>
      </c>
      <c r="E41" s="46" t="s">
        <v>5</v>
      </c>
      <c r="F41" s="46" t="s">
        <v>6</v>
      </c>
      <c r="G41" s="46" t="s">
        <v>7</v>
      </c>
      <c r="H41" s="46" t="s">
        <v>8</v>
      </c>
      <c r="I41" s="51" t="s">
        <v>149</v>
      </c>
    </row>
    <row r="42" spans="2:9" s="41" customFormat="1" ht="36.75" thickBot="1" x14ac:dyDescent="0.3">
      <c r="B42" s="40" t="s">
        <v>118</v>
      </c>
      <c r="C42" s="40" t="s">
        <v>127</v>
      </c>
      <c r="D42" s="30" t="s">
        <v>179</v>
      </c>
      <c r="E42" s="32" t="s">
        <v>152</v>
      </c>
      <c r="F42" s="48">
        <v>3</v>
      </c>
      <c r="G42" s="48">
        <v>3</v>
      </c>
      <c r="H42" s="7">
        <f>G42/F42*100</f>
        <v>100</v>
      </c>
      <c r="I42" s="31" t="s">
        <v>76</v>
      </c>
    </row>
    <row r="43" spans="2:9" s="41" customFormat="1" ht="30.75" thickBot="1" x14ac:dyDescent="0.3">
      <c r="B43" s="40" t="s">
        <v>151</v>
      </c>
      <c r="C43" s="40" t="s">
        <v>127</v>
      </c>
      <c r="D43" s="30" t="s">
        <v>180</v>
      </c>
      <c r="E43" s="32" t="s">
        <v>152</v>
      </c>
      <c r="F43" s="48">
        <v>10</v>
      </c>
      <c r="G43" s="48">
        <v>10</v>
      </c>
      <c r="H43" s="7">
        <f>G43/F43*100</f>
        <v>100</v>
      </c>
      <c r="I43" s="31" t="s">
        <v>76</v>
      </c>
    </row>
    <row r="44" spans="2:9" ht="9.9499999999999993" customHeight="1" x14ac:dyDescent="0.25">
      <c r="B44" s="57"/>
      <c r="C44" s="57"/>
      <c r="D44" s="57"/>
      <c r="E44" s="57"/>
      <c r="F44" s="57"/>
      <c r="G44" s="57"/>
      <c r="I44" s="27"/>
    </row>
    <row r="45" spans="2:9" ht="30" customHeight="1" x14ac:dyDescent="0.25">
      <c r="B45" s="83" t="s">
        <v>87</v>
      </c>
      <c r="C45" s="84"/>
      <c r="D45" s="85" t="s">
        <v>138</v>
      </c>
      <c r="E45" s="86"/>
      <c r="F45" s="86"/>
      <c r="G45" s="86"/>
      <c r="I45" s="27"/>
    </row>
    <row r="46" spans="2:9" ht="9.9499999999999993" customHeight="1" x14ac:dyDescent="0.25">
      <c r="B46" s="89"/>
      <c r="C46" s="89"/>
      <c r="D46" s="89"/>
      <c r="E46" s="89"/>
      <c r="F46" s="89"/>
      <c r="G46" s="89"/>
      <c r="I46" s="27"/>
    </row>
    <row r="47" spans="2:9" ht="42.95" customHeight="1" x14ac:dyDescent="0.25">
      <c r="B47" s="46" t="s">
        <v>0</v>
      </c>
      <c r="C47" s="46" t="s">
        <v>3</v>
      </c>
      <c r="D47" s="46" t="s">
        <v>4</v>
      </c>
      <c r="E47" s="46" t="s">
        <v>5</v>
      </c>
      <c r="F47" s="46" t="s">
        <v>6</v>
      </c>
      <c r="G47" s="46" t="s">
        <v>7</v>
      </c>
      <c r="H47" s="46" t="s">
        <v>8</v>
      </c>
      <c r="I47" s="51" t="s">
        <v>149</v>
      </c>
    </row>
    <row r="48" spans="2:9" s="41" customFormat="1" ht="60.75" thickBot="1" x14ac:dyDescent="0.3">
      <c r="B48" s="39" t="s">
        <v>119</v>
      </c>
      <c r="C48" s="40" t="s">
        <v>128</v>
      </c>
      <c r="D48" s="30" t="s">
        <v>185</v>
      </c>
      <c r="E48" s="33" t="s">
        <v>97</v>
      </c>
      <c r="F48" s="48">
        <v>2</v>
      </c>
      <c r="G48" s="48">
        <v>2</v>
      </c>
      <c r="H48" s="7">
        <f>G48/F48*100</f>
        <v>100</v>
      </c>
      <c r="I48" s="31" t="s">
        <v>76</v>
      </c>
    </row>
    <row r="49" spans="2:9" ht="9.9499999999999993" customHeight="1" x14ac:dyDescent="0.25">
      <c r="I49" s="27"/>
    </row>
    <row r="50" spans="2:9" ht="30" customHeight="1" x14ac:dyDescent="0.25">
      <c r="B50" s="90" t="s">
        <v>11</v>
      </c>
      <c r="C50" s="90"/>
      <c r="D50" s="91" t="s">
        <v>120</v>
      </c>
      <c r="E50" s="91"/>
      <c r="F50" s="91"/>
      <c r="G50" s="91"/>
      <c r="I50" s="27"/>
    </row>
    <row r="51" spans="2:9" ht="9.9499999999999993" customHeight="1" x14ac:dyDescent="0.25">
      <c r="B51" s="56"/>
      <c r="C51" s="56"/>
      <c r="D51" s="56"/>
      <c r="E51" s="56"/>
      <c r="F51" s="56"/>
      <c r="G51" s="56"/>
      <c r="I51" s="27"/>
    </row>
    <row r="52" spans="2:9" ht="30" customHeight="1" x14ac:dyDescent="0.25">
      <c r="B52" s="90" t="s">
        <v>88</v>
      </c>
      <c r="C52" s="90"/>
      <c r="D52" s="88" t="s">
        <v>146</v>
      </c>
      <c r="E52" s="88"/>
      <c r="F52" s="88"/>
      <c r="G52" s="88"/>
      <c r="I52" s="27"/>
    </row>
    <row r="53" spans="2:9" ht="9.9499999999999993" customHeight="1" x14ac:dyDescent="0.25">
      <c r="B53" s="56"/>
      <c r="C53" s="56"/>
      <c r="D53" s="56"/>
      <c r="E53" s="56"/>
      <c r="F53" s="56"/>
      <c r="G53" s="56"/>
      <c r="I53" s="27"/>
    </row>
    <row r="54" spans="2:9" ht="42.95" customHeight="1" x14ac:dyDescent="0.25">
      <c r="B54" s="46" t="s">
        <v>0</v>
      </c>
      <c r="C54" s="46" t="s">
        <v>3</v>
      </c>
      <c r="D54" s="46" t="s">
        <v>4</v>
      </c>
      <c r="E54" s="46" t="s">
        <v>5</v>
      </c>
      <c r="F54" s="46" t="s">
        <v>6</v>
      </c>
      <c r="G54" s="46" t="s">
        <v>7</v>
      </c>
      <c r="H54" s="46" t="s">
        <v>8</v>
      </c>
      <c r="I54" s="51" t="s">
        <v>149</v>
      </c>
    </row>
    <row r="55" spans="2:9" s="49" customFormat="1" ht="43.15" customHeight="1" x14ac:dyDescent="0.25">
      <c r="B55" s="40" t="s">
        <v>147</v>
      </c>
      <c r="C55" s="40" t="s">
        <v>148</v>
      </c>
      <c r="D55" s="50"/>
      <c r="E55" s="40"/>
      <c r="F55" s="30"/>
      <c r="G55" s="30"/>
      <c r="H55" s="7" t="e">
        <f>G55/F55*100</f>
        <v>#DIV/0!</v>
      </c>
      <c r="I55" s="31" t="e">
        <f>IF(H55&gt;=50,"CONSIDERAR","NO")</f>
        <v>#DIV/0!</v>
      </c>
    </row>
    <row r="56" spans="2:9" ht="9.9499999999999993" customHeight="1" x14ac:dyDescent="0.25">
      <c r="B56" s="56"/>
      <c r="C56" s="56"/>
      <c r="D56" s="56"/>
      <c r="E56" s="56"/>
      <c r="F56" s="56"/>
      <c r="G56" s="56"/>
      <c r="I56" s="27"/>
    </row>
    <row r="57" spans="2:9" ht="30" customHeight="1" x14ac:dyDescent="0.25">
      <c r="B57" s="90" t="s">
        <v>89</v>
      </c>
      <c r="C57" s="90"/>
      <c r="D57" s="65" t="s">
        <v>139</v>
      </c>
      <c r="E57" s="65"/>
      <c r="F57" s="65"/>
      <c r="G57" s="65"/>
      <c r="I57" s="27"/>
    </row>
    <row r="58" spans="2:9" ht="9.9499999999999993" customHeight="1" x14ac:dyDescent="0.25">
      <c r="B58" s="56"/>
      <c r="C58" s="56"/>
      <c r="D58" s="56"/>
      <c r="E58" s="56"/>
      <c r="F58" s="56"/>
      <c r="G58" s="56"/>
      <c r="I58" s="27"/>
    </row>
    <row r="59" spans="2:9" ht="42.95" customHeight="1" x14ac:dyDescent="0.25">
      <c r="B59" s="37" t="s">
        <v>0</v>
      </c>
      <c r="C59" s="37" t="s">
        <v>3</v>
      </c>
      <c r="D59" s="37" t="s">
        <v>4</v>
      </c>
      <c r="E59" s="37" t="s">
        <v>5</v>
      </c>
      <c r="F59" s="37" t="s">
        <v>6</v>
      </c>
      <c r="G59" s="37" t="s">
        <v>7</v>
      </c>
      <c r="H59" s="37" t="s">
        <v>8</v>
      </c>
      <c r="I59" s="51" t="s">
        <v>149</v>
      </c>
    </row>
    <row r="60" spans="2:9" ht="24" x14ac:dyDescent="0.25">
      <c r="B60" s="40" t="s">
        <v>140</v>
      </c>
      <c r="C60" s="40" t="s">
        <v>141</v>
      </c>
      <c r="D60" s="50"/>
      <c r="E60" s="40"/>
      <c r="F60" s="48"/>
      <c r="G60" s="48"/>
      <c r="H60" s="7" t="e">
        <f>G60/F60*100</f>
        <v>#DIV/0!</v>
      </c>
      <c r="I60" s="31" t="e">
        <f>IF(H60&gt;=50,"CONSIDERAR","NO")</f>
        <v>#DIV/0!</v>
      </c>
    </row>
    <row r="61" spans="2:9" ht="9.9499999999999993" customHeight="1" x14ac:dyDescent="0.25">
      <c r="B61" s="57"/>
      <c r="C61" s="57"/>
      <c r="D61" s="57"/>
      <c r="E61" s="57"/>
      <c r="F61" s="57"/>
      <c r="G61" s="57"/>
      <c r="I61" s="27"/>
    </row>
    <row r="62" spans="2:9" ht="39.950000000000003" customHeight="1" x14ac:dyDescent="0.25">
      <c r="B62" s="92" t="s">
        <v>13</v>
      </c>
      <c r="C62" s="92"/>
      <c r="D62" s="88" t="s">
        <v>142</v>
      </c>
      <c r="E62" s="88"/>
      <c r="F62" s="88"/>
      <c r="G62" s="88"/>
      <c r="I62" s="27"/>
    </row>
    <row r="63" spans="2:9" ht="9.9499999999999993" customHeight="1" x14ac:dyDescent="0.25">
      <c r="B63" s="56"/>
      <c r="C63" s="56"/>
      <c r="D63" s="56"/>
      <c r="E63" s="56"/>
      <c r="F63" s="56"/>
      <c r="G63" s="56"/>
      <c r="I63" s="27"/>
    </row>
    <row r="64" spans="2:9" ht="30" customHeight="1" x14ac:dyDescent="0.25">
      <c r="B64" s="92" t="s">
        <v>90</v>
      </c>
      <c r="C64" s="92"/>
      <c r="D64" s="65" t="s">
        <v>143</v>
      </c>
      <c r="E64" s="65"/>
      <c r="F64" s="65"/>
      <c r="G64" s="65"/>
      <c r="I64" s="27"/>
    </row>
    <row r="65" spans="2:9" ht="9.9499999999999993" customHeight="1" x14ac:dyDescent="0.25">
      <c r="B65" s="56"/>
      <c r="C65" s="56"/>
      <c r="D65" s="56"/>
      <c r="E65" s="56"/>
      <c r="F65" s="56"/>
      <c r="G65" s="56"/>
      <c r="I65" s="27"/>
    </row>
    <row r="66" spans="2:9" ht="39.950000000000003" customHeight="1" x14ac:dyDescent="0.25">
      <c r="B66" s="46" t="s">
        <v>0</v>
      </c>
      <c r="C66" s="46" t="s">
        <v>3</v>
      </c>
      <c r="D66" s="46" t="s">
        <v>4</v>
      </c>
      <c r="E66" s="46" t="s">
        <v>5</v>
      </c>
      <c r="F66" s="46" t="s">
        <v>6</v>
      </c>
      <c r="G66" s="46" t="s">
        <v>7</v>
      </c>
      <c r="H66" s="46" t="s">
        <v>8</v>
      </c>
      <c r="I66" s="51" t="s">
        <v>149</v>
      </c>
    </row>
    <row r="67" spans="2:9" ht="72.75" thickBot="1" x14ac:dyDescent="0.3">
      <c r="B67" s="40" t="s">
        <v>121</v>
      </c>
      <c r="C67" s="40" t="s">
        <v>129</v>
      </c>
      <c r="D67" s="30" t="s">
        <v>181</v>
      </c>
      <c r="E67" s="34" t="s">
        <v>152</v>
      </c>
      <c r="F67" s="48">
        <v>1</v>
      </c>
      <c r="G67" s="48">
        <v>1</v>
      </c>
      <c r="H67" s="7">
        <f>G67/F67*100</f>
        <v>100</v>
      </c>
      <c r="I67" s="31" t="s">
        <v>76</v>
      </c>
    </row>
    <row r="68" spans="2:9" ht="30" customHeight="1" x14ac:dyDescent="0.25"/>
    <row r="69" spans="2:9" ht="30" customHeight="1" x14ac:dyDescent="0.25"/>
    <row r="70" spans="2:9" ht="30" customHeight="1" x14ac:dyDescent="0.25"/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</sheetData>
  <mergeCells count="57">
    <mergeCell ref="B7:G7"/>
    <mergeCell ref="B1:G1"/>
    <mergeCell ref="B2:G2"/>
    <mergeCell ref="O2:P2"/>
    <mergeCell ref="B3:G3"/>
    <mergeCell ref="B4:C4"/>
    <mergeCell ref="D4:G4"/>
    <mergeCell ref="P4:Q4"/>
    <mergeCell ref="B5:G5"/>
    <mergeCell ref="B6:C6"/>
    <mergeCell ref="D6:G6"/>
    <mergeCell ref="K6:M6"/>
    <mergeCell ref="P6:Q6"/>
    <mergeCell ref="B19:G19"/>
    <mergeCell ref="O8:Q8"/>
    <mergeCell ref="O9:Q9"/>
    <mergeCell ref="O10:Q10"/>
    <mergeCell ref="B12:G12"/>
    <mergeCell ref="B13:C13"/>
    <mergeCell ref="D13:G13"/>
    <mergeCell ref="P13:V13"/>
    <mergeCell ref="B14:G14"/>
    <mergeCell ref="P15:R15"/>
    <mergeCell ref="B17:G17"/>
    <mergeCell ref="B18:C18"/>
    <mergeCell ref="D18:G18"/>
    <mergeCell ref="B45:C45"/>
    <mergeCell ref="D45:G45"/>
    <mergeCell ref="B20:C20"/>
    <mergeCell ref="D20:G20"/>
    <mergeCell ref="B21:G21"/>
    <mergeCell ref="B36:G36"/>
    <mergeCell ref="B37:C37"/>
    <mergeCell ref="D37:G37"/>
    <mergeCell ref="B38:G38"/>
    <mergeCell ref="B39:C39"/>
    <mergeCell ref="D39:G39"/>
    <mergeCell ref="B40:G40"/>
    <mergeCell ref="B44:G44"/>
    <mergeCell ref="B46:G46"/>
    <mergeCell ref="B50:C50"/>
    <mergeCell ref="D50:G50"/>
    <mergeCell ref="B51:G51"/>
    <mergeCell ref="B52:C52"/>
    <mergeCell ref="D52:G52"/>
    <mergeCell ref="B65:G65"/>
    <mergeCell ref="B53:G53"/>
    <mergeCell ref="B56:G56"/>
    <mergeCell ref="B57:C57"/>
    <mergeCell ref="D57:G57"/>
    <mergeCell ref="B58:G58"/>
    <mergeCell ref="B61:G61"/>
    <mergeCell ref="B62:C62"/>
    <mergeCell ref="D62:G62"/>
    <mergeCell ref="B63:G63"/>
    <mergeCell ref="B64:C64"/>
    <mergeCell ref="D64:G64"/>
  </mergeCells>
  <conditionalFormatting sqref="H9:H11">
    <cfRule type="cellIs" dxfId="101" priority="22" operator="lessThan">
      <formula>75</formula>
    </cfRule>
    <cfRule type="cellIs" dxfId="100" priority="23" operator="between">
      <formula>75</formula>
      <formula>94</formula>
    </cfRule>
    <cfRule type="cellIs" dxfId="99" priority="24" operator="greaterThanOrEqual">
      <formula>95</formula>
    </cfRule>
  </conditionalFormatting>
  <conditionalFormatting sqref="H16">
    <cfRule type="cellIs" dxfId="98" priority="19" operator="lessThan">
      <formula>75</formula>
    </cfRule>
    <cfRule type="cellIs" dxfId="97" priority="20" operator="between">
      <formula>75</formula>
      <formula>94</formula>
    </cfRule>
    <cfRule type="cellIs" dxfId="96" priority="21" operator="greaterThanOrEqual">
      <formula>95</formula>
    </cfRule>
  </conditionalFormatting>
  <conditionalFormatting sqref="H23:H35">
    <cfRule type="cellIs" dxfId="95" priority="16" operator="lessThan">
      <formula>75</formula>
    </cfRule>
    <cfRule type="cellIs" dxfId="94" priority="17" operator="between">
      <formula>75</formula>
      <formula>94</formula>
    </cfRule>
    <cfRule type="cellIs" dxfId="93" priority="18" operator="greaterThanOrEqual">
      <formula>95</formula>
    </cfRule>
  </conditionalFormatting>
  <conditionalFormatting sqref="H42:H43">
    <cfRule type="cellIs" dxfId="92" priority="13" operator="lessThan">
      <formula>75</formula>
    </cfRule>
    <cfRule type="cellIs" dxfId="91" priority="14" operator="between">
      <formula>75</formula>
      <formula>94</formula>
    </cfRule>
    <cfRule type="cellIs" dxfId="90" priority="15" operator="greaterThanOrEqual">
      <formula>95</formula>
    </cfRule>
  </conditionalFormatting>
  <conditionalFormatting sqref="H48">
    <cfRule type="cellIs" dxfId="89" priority="10" operator="lessThan">
      <formula>75</formula>
    </cfRule>
    <cfRule type="cellIs" dxfId="88" priority="11" operator="between">
      <formula>75</formula>
      <formula>94</formula>
    </cfRule>
    <cfRule type="cellIs" dxfId="87" priority="12" operator="greaterThanOrEqual">
      <formula>95</formula>
    </cfRule>
  </conditionalFormatting>
  <conditionalFormatting sqref="H55">
    <cfRule type="cellIs" dxfId="86" priority="7" operator="lessThan">
      <formula>75</formula>
    </cfRule>
    <cfRule type="cellIs" dxfId="85" priority="8" operator="between">
      <formula>75</formula>
      <formula>94</formula>
    </cfRule>
    <cfRule type="cellIs" dxfId="84" priority="9" operator="greaterThanOrEqual">
      <formula>95</formula>
    </cfRule>
  </conditionalFormatting>
  <conditionalFormatting sqref="H60">
    <cfRule type="cellIs" dxfId="83" priority="4" operator="lessThan">
      <formula>75</formula>
    </cfRule>
    <cfRule type="cellIs" dxfId="82" priority="5" operator="between">
      <formula>75</formula>
      <formula>94</formula>
    </cfRule>
    <cfRule type="cellIs" dxfId="81" priority="6" operator="greaterThanOrEqual">
      <formula>95</formula>
    </cfRule>
  </conditionalFormatting>
  <conditionalFormatting sqref="H67">
    <cfRule type="cellIs" dxfId="80" priority="1" operator="lessThan">
      <formula>75</formula>
    </cfRule>
    <cfRule type="cellIs" dxfId="79" priority="2" operator="between">
      <formula>75</formula>
      <formula>94</formula>
    </cfRule>
    <cfRule type="cellIs" dxfId="78" priority="3" operator="greaterThanOrEqual">
      <formula>95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CDDB-85CD-47F9-80E4-DEEA939A9EA5}">
  <dimension ref="B1:V607"/>
  <sheetViews>
    <sheetView topLeftCell="A41" workbookViewId="0">
      <selection activeCell="G15" sqref="G15"/>
    </sheetView>
  </sheetViews>
  <sheetFormatPr baseColWidth="10" defaultColWidth="11.42578125" defaultRowHeight="15" x14ac:dyDescent="0.25"/>
  <cols>
    <col min="1" max="1" width="10.7109375" style="44" customWidth="1"/>
    <col min="2" max="2" width="35.7109375" style="44" customWidth="1"/>
    <col min="3" max="4" width="25.7109375" style="44" customWidth="1"/>
    <col min="5" max="7" width="15.7109375" style="44" customWidth="1"/>
    <col min="8" max="8" width="15.7109375" style="44" hidden="1" customWidth="1"/>
    <col min="9" max="9" width="16.85546875" style="44" hidden="1" customWidth="1"/>
    <col min="10" max="12" width="11.42578125" style="44"/>
    <col min="13" max="13" width="16.7109375" style="44" customWidth="1"/>
    <col min="14" max="14" width="11.42578125" style="44"/>
    <col min="15" max="15" width="12.28515625" style="44" hidden="1" customWidth="1"/>
    <col min="16" max="16" width="11.85546875" style="44" hidden="1" customWidth="1"/>
    <col min="17" max="22" width="11.42578125" style="44" hidden="1" customWidth="1"/>
    <col min="23" max="16384" width="11.42578125" style="44"/>
  </cols>
  <sheetData>
    <row r="1" spans="2:22" ht="9.9499999999999993" customHeight="1" x14ac:dyDescent="0.25">
      <c r="B1" s="57"/>
      <c r="C1" s="57"/>
      <c r="D1" s="57"/>
      <c r="E1" s="57"/>
      <c r="F1" s="57"/>
      <c r="G1" s="57"/>
    </row>
    <row r="2" spans="2:22" ht="39.950000000000003" customHeight="1" x14ac:dyDescent="0.25">
      <c r="B2" s="58" t="s">
        <v>68</v>
      </c>
      <c r="C2" s="59"/>
      <c r="D2" s="59"/>
      <c r="E2" s="59"/>
      <c r="F2" s="59"/>
      <c r="G2" s="59"/>
      <c r="O2" s="60" t="s">
        <v>77</v>
      </c>
      <c r="P2" s="60"/>
    </row>
    <row r="3" spans="2:22" ht="9.9499999999999993" customHeight="1" x14ac:dyDescent="0.25">
      <c r="B3" s="61"/>
      <c r="C3" s="61"/>
      <c r="D3" s="61"/>
      <c r="E3" s="61"/>
      <c r="F3" s="61"/>
      <c r="G3" s="61"/>
    </row>
    <row r="4" spans="2:22" ht="39.950000000000003" customHeight="1" x14ac:dyDescent="0.25">
      <c r="B4" s="59" t="s">
        <v>2</v>
      </c>
      <c r="C4" s="59"/>
      <c r="D4" s="62" t="s">
        <v>144</v>
      </c>
      <c r="E4" s="63"/>
      <c r="F4" s="63"/>
      <c r="G4" s="63"/>
      <c r="O4" s="45" t="s">
        <v>78</v>
      </c>
      <c r="P4" s="64" t="s">
        <v>79</v>
      </c>
      <c r="Q4" s="64"/>
    </row>
    <row r="5" spans="2:22" ht="9.9499999999999993" customHeight="1" x14ac:dyDescent="0.25">
      <c r="B5" s="61"/>
      <c r="C5" s="61"/>
      <c r="D5" s="61"/>
      <c r="E5" s="61"/>
      <c r="F5" s="61"/>
      <c r="G5" s="61"/>
    </row>
    <row r="6" spans="2:22" ht="30" customHeight="1" x14ac:dyDescent="0.25">
      <c r="B6" s="59" t="s">
        <v>59</v>
      </c>
      <c r="C6" s="59"/>
      <c r="D6" s="65" t="s">
        <v>136</v>
      </c>
      <c r="E6" s="65"/>
      <c r="F6" s="65"/>
      <c r="G6" s="65"/>
      <c r="K6" s="66" t="s">
        <v>91</v>
      </c>
      <c r="L6" s="67"/>
      <c r="M6" s="68"/>
      <c r="O6" s="18" t="s">
        <v>80</v>
      </c>
      <c r="P6" s="64" t="s">
        <v>84</v>
      </c>
      <c r="Q6" s="64"/>
    </row>
    <row r="7" spans="2:22" ht="9.9499999999999993" customHeight="1" x14ac:dyDescent="0.25">
      <c r="B7" s="56"/>
      <c r="C7" s="56"/>
      <c r="D7" s="56"/>
      <c r="E7" s="56"/>
      <c r="F7" s="56"/>
      <c r="G7" s="56"/>
      <c r="O7" s="19"/>
      <c r="P7" s="20"/>
      <c r="Q7" s="21"/>
    </row>
    <row r="8" spans="2:22" s="49" customFormat="1" ht="45" x14ac:dyDescent="0.25">
      <c r="B8" s="46" t="s">
        <v>0</v>
      </c>
      <c r="C8" s="46" t="s">
        <v>3</v>
      </c>
      <c r="D8" s="46" t="s">
        <v>4</v>
      </c>
      <c r="E8" s="46" t="s">
        <v>5</v>
      </c>
      <c r="F8" s="46" t="s">
        <v>6</v>
      </c>
      <c r="G8" s="46" t="s">
        <v>7</v>
      </c>
      <c r="H8" s="46" t="s">
        <v>8</v>
      </c>
      <c r="I8" s="51" t="s">
        <v>149</v>
      </c>
      <c r="K8" s="46" t="s">
        <v>69</v>
      </c>
      <c r="L8" s="46" t="s">
        <v>70</v>
      </c>
      <c r="M8" s="46" t="s">
        <v>71</v>
      </c>
      <c r="O8" s="69" t="s">
        <v>81</v>
      </c>
      <c r="P8" s="70"/>
      <c r="Q8" s="71"/>
      <c r="R8" s="23"/>
    </row>
    <row r="9" spans="2:22" ht="24" x14ac:dyDescent="0.25">
      <c r="B9" s="39" t="s">
        <v>145</v>
      </c>
      <c r="C9" s="40" t="s">
        <v>133</v>
      </c>
      <c r="D9" s="50"/>
      <c r="E9" s="40"/>
      <c r="F9" s="48"/>
      <c r="G9" s="48"/>
      <c r="H9" s="7" t="e">
        <f>G9/F9*100</f>
        <v>#DIV/0!</v>
      </c>
      <c r="I9" s="31" t="e">
        <f>IF(H9&gt;=50,"CONSIDERAR","NO")</f>
        <v>#DIV/0!</v>
      </c>
      <c r="K9" s="13">
        <f>COUNT(F9:F11)+COUNT(F16:F16)+COUNT(#REF!)+COUNT(F23:F24)+COUNT(F25)+COUNT(#REF!)+COUNT(F55:F55)+COUNT(#REF!)+COUNT(F67:F67)+COUNT(F26:F27)+COUNT(F28:F35)+COUNT(F48:F48)+COUNT(F43)+COUNT(#REF!)+COUNT(#REF!)+COUNT(F60:F60)+COUNT(#REF!)</f>
        <v>0</v>
      </c>
      <c r="L9" s="13">
        <f>COUNTIF(I9:I67,"CONSIDERAR")</f>
        <v>0</v>
      </c>
      <c r="M9" s="17"/>
      <c r="O9" s="72" t="s">
        <v>83</v>
      </c>
      <c r="P9" s="73"/>
      <c r="Q9" s="74"/>
    </row>
    <row r="10" spans="2:22" ht="36" x14ac:dyDescent="0.25">
      <c r="B10" s="39" t="s">
        <v>130</v>
      </c>
      <c r="C10" s="40" t="s">
        <v>131</v>
      </c>
      <c r="D10" s="50"/>
      <c r="E10" s="40"/>
      <c r="F10" s="48"/>
      <c r="G10" s="48"/>
      <c r="H10" s="7" t="e">
        <f t="shared" ref="H10:H11" si="0">G10/F10*100</f>
        <v>#DIV/0!</v>
      </c>
      <c r="I10" s="31" t="e">
        <f t="shared" ref="I10:I11" si="1">IF(H10&gt;=50,"CONSIDERAR","NO")</f>
        <v>#DIV/0!</v>
      </c>
      <c r="O10" s="75" t="s">
        <v>82</v>
      </c>
      <c r="P10" s="76"/>
      <c r="Q10" s="77"/>
    </row>
    <row r="11" spans="2:22" ht="48" x14ac:dyDescent="0.25">
      <c r="B11" s="39" t="s">
        <v>132</v>
      </c>
      <c r="C11" s="40" t="s">
        <v>133</v>
      </c>
      <c r="D11" s="50"/>
      <c r="E11" s="40"/>
      <c r="F11" s="48"/>
      <c r="G11" s="48"/>
      <c r="H11" s="7" t="e">
        <f t="shared" si="0"/>
        <v>#DIV/0!</v>
      </c>
      <c r="I11" s="31" t="e">
        <f t="shared" si="1"/>
        <v>#DIV/0!</v>
      </c>
    </row>
    <row r="12" spans="2:22" ht="9.9499999999999993" customHeight="1" x14ac:dyDescent="0.25">
      <c r="B12" s="78"/>
      <c r="C12" s="78"/>
      <c r="D12" s="78"/>
      <c r="E12" s="78"/>
      <c r="F12" s="78"/>
      <c r="G12" s="78"/>
      <c r="I12" s="27"/>
      <c r="O12" s="47"/>
    </row>
    <row r="13" spans="2:22" ht="30" customHeight="1" x14ac:dyDescent="0.25">
      <c r="B13" s="79" t="s">
        <v>60</v>
      </c>
      <c r="C13" s="79"/>
      <c r="D13" s="80" t="s">
        <v>137</v>
      </c>
      <c r="E13" s="80"/>
      <c r="F13" s="80"/>
      <c r="G13" s="80"/>
      <c r="I13" s="27"/>
      <c r="O13" s="45" t="s">
        <v>73</v>
      </c>
      <c r="P13" s="81" t="s">
        <v>75</v>
      </c>
      <c r="Q13" s="81"/>
      <c r="R13" s="81"/>
      <c r="S13" s="81"/>
      <c r="T13" s="81"/>
      <c r="U13" s="81"/>
      <c r="V13" s="81"/>
    </row>
    <row r="14" spans="2:22" ht="9.9499999999999993" customHeight="1" x14ac:dyDescent="0.25">
      <c r="B14" s="56"/>
      <c r="C14" s="56"/>
      <c r="D14" s="56"/>
      <c r="E14" s="56"/>
      <c r="F14" s="56"/>
      <c r="G14" s="56"/>
      <c r="I14" s="27"/>
      <c r="O14" s="47"/>
    </row>
    <row r="15" spans="2:22" ht="45" customHeight="1" x14ac:dyDescent="0.25">
      <c r="B15" s="26" t="s">
        <v>0</v>
      </c>
      <c r="C15" s="26" t="s">
        <v>3</v>
      </c>
      <c r="D15" s="26" t="s">
        <v>4</v>
      </c>
      <c r="E15" s="26" t="s">
        <v>5</v>
      </c>
      <c r="F15" s="26" t="s">
        <v>6</v>
      </c>
      <c r="G15" s="26" t="s">
        <v>7</v>
      </c>
      <c r="H15" s="46" t="s">
        <v>8</v>
      </c>
      <c r="I15" s="51" t="s">
        <v>149</v>
      </c>
      <c r="O15" s="45" t="s">
        <v>70</v>
      </c>
      <c r="P15" s="64" t="s">
        <v>72</v>
      </c>
      <c r="Q15" s="64"/>
      <c r="R15" s="64"/>
    </row>
    <row r="16" spans="2:22" ht="24" x14ac:dyDescent="0.25">
      <c r="B16" s="40" t="s">
        <v>134</v>
      </c>
      <c r="C16" s="40" t="s">
        <v>135</v>
      </c>
      <c r="D16" s="50"/>
      <c r="E16" s="40"/>
      <c r="F16" s="48"/>
      <c r="G16" s="48"/>
      <c r="H16" s="7" t="e">
        <f>G16/F16*100</f>
        <v>#DIV/0!</v>
      </c>
      <c r="I16" s="31" t="e">
        <f>IF(H16&gt;=50,"CONSIDERAR","NO")</f>
        <v>#DIV/0!</v>
      </c>
    </row>
    <row r="17" spans="2:9" ht="9.9499999999999993" customHeight="1" x14ac:dyDescent="0.25">
      <c r="B17" s="56"/>
      <c r="C17" s="56"/>
      <c r="D17" s="56"/>
      <c r="E17" s="56"/>
      <c r="F17" s="56"/>
      <c r="G17" s="56"/>
      <c r="I17" s="27"/>
    </row>
    <row r="18" spans="2:9" ht="39.950000000000003" customHeight="1" x14ac:dyDescent="0.25">
      <c r="B18" s="82" t="s">
        <v>9</v>
      </c>
      <c r="C18" s="82"/>
      <c r="D18" s="62" t="s">
        <v>92</v>
      </c>
      <c r="E18" s="63"/>
      <c r="F18" s="63"/>
      <c r="G18" s="63"/>
      <c r="I18" s="27"/>
    </row>
    <row r="19" spans="2:9" ht="9.9499999999999993" customHeight="1" x14ac:dyDescent="0.25">
      <c r="B19" s="56"/>
      <c r="C19" s="56"/>
      <c r="D19" s="56"/>
      <c r="E19" s="56"/>
      <c r="F19" s="56"/>
      <c r="G19" s="56"/>
      <c r="I19" s="27"/>
    </row>
    <row r="20" spans="2:9" ht="30" customHeight="1" x14ac:dyDescent="0.25">
      <c r="B20" s="82" t="s">
        <v>62</v>
      </c>
      <c r="C20" s="82"/>
      <c r="D20" s="65" t="s">
        <v>93</v>
      </c>
      <c r="E20" s="65"/>
      <c r="F20" s="65"/>
      <c r="G20" s="65"/>
      <c r="I20" s="27"/>
    </row>
    <row r="21" spans="2:9" ht="9.9499999999999993" customHeight="1" x14ac:dyDescent="0.25">
      <c r="B21" s="56"/>
      <c r="C21" s="56"/>
      <c r="D21" s="56"/>
      <c r="E21" s="56"/>
      <c r="F21" s="56"/>
      <c r="G21" s="56"/>
      <c r="I21" s="27"/>
    </row>
    <row r="22" spans="2:9" ht="45" customHeight="1" x14ac:dyDescent="0.25">
      <c r="B22" s="46" t="s">
        <v>0</v>
      </c>
      <c r="C22" s="46" t="s">
        <v>3</v>
      </c>
      <c r="D22" s="46" t="s">
        <v>4</v>
      </c>
      <c r="E22" s="46" t="s">
        <v>5</v>
      </c>
      <c r="F22" s="46" t="s">
        <v>6</v>
      </c>
      <c r="G22" s="46" t="s">
        <v>7</v>
      </c>
      <c r="H22" s="46" t="s">
        <v>8</v>
      </c>
      <c r="I22" s="51" t="s">
        <v>149</v>
      </c>
    </row>
    <row r="23" spans="2:9" x14ac:dyDescent="0.25">
      <c r="B23" s="40" t="s">
        <v>94</v>
      </c>
      <c r="C23" s="40" t="s">
        <v>122</v>
      </c>
      <c r="D23" s="30"/>
      <c r="E23" s="36" t="s">
        <v>95</v>
      </c>
      <c r="F23" s="48"/>
      <c r="G23" s="48"/>
      <c r="H23" s="7" t="e">
        <f>G23/F23*100</f>
        <v>#DIV/0!</v>
      </c>
      <c r="I23" s="31" t="e">
        <f>IF(H23&gt;=50,"CONSIDERAR","NO")</f>
        <v>#DIV/0!</v>
      </c>
    </row>
    <row r="24" spans="2:9" x14ac:dyDescent="0.25">
      <c r="B24" s="40" t="s">
        <v>96</v>
      </c>
      <c r="C24" s="40" t="s">
        <v>122</v>
      </c>
      <c r="D24" s="30"/>
      <c r="E24" s="36" t="s">
        <v>97</v>
      </c>
      <c r="F24" s="48"/>
      <c r="G24" s="48"/>
      <c r="H24" s="7" t="e">
        <f t="shared" ref="H24:H35" si="2">G24/F24*100</f>
        <v>#DIV/0!</v>
      </c>
      <c r="I24" s="31" t="e">
        <f t="shared" ref="I24:I35" si="3">IF(H24&gt;=50,"CONSIDERAR","NO")</f>
        <v>#DIV/0!</v>
      </c>
    </row>
    <row r="25" spans="2:9" x14ac:dyDescent="0.25">
      <c r="B25" s="40" t="s">
        <v>98</v>
      </c>
      <c r="C25" s="40" t="s">
        <v>123</v>
      </c>
      <c r="D25" s="27"/>
      <c r="E25" s="36" t="s">
        <v>97</v>
      </c>
      <c r="F25" s="48"/>
      <c r="G25" s="48"/>
      <c r="H25" s="7" t="e">
        <f t="shared" si="2"/>
        <v>#DIV/0!</v>
      </c>
      <c r="I25" s="31" t="e">
        <f t="shared" si="3"/>
        <v>#DIV/0!</v>
      </c>
    </row>
    <row r="26" spans="2:9" ht="36" x14ac:dyDescent="0.25">
      <c r="B26" s="39" t="s">
        <v>99</v>
      </c>
      <c r="C26" s="40" t="s">
        <v>124</v>
      </c>
      <c r="D26" s="48"/>
      <c r="E26" s="36" t="s">
        <v>100</v>
      </c>
      <c r="F26" s="48"/>
      <c r="G26" s="48"/>
      <c r="H26" s="7" t="e">
        <f t="shared" si="2"/>
        <v>#DIV/0!</v>
      </c>
      <c r="I26" s="31" t="e">
        <f t="shared" si="3"/>
        <v>#DIV/0!</v>
      </c>
    </row>
    <row r="27" spans="2:9" ht="24" x14ac:dyDescent="0.25">
      <c r="B27" s="39" t="s">
        <v>101</v>
      </c>
      <c r="C27" s="40" t="s">
        <v>122</v>
      </c>
      <c r="D27" s="30"/>
      <c r="E27" s="36" t="s">
        <v>97</v>
      </c>
      <c r="F27" s="48"/>
      <c r="G27" s="48"/>
      <c r="H27" s="7" t="e">
        <f t="shared" si="2"/>
        <v>#DIV/0!</v>
      </c>
      <c r="I27" s="31" t="e">
        <f t="shared" si="3"/>
        <v>#DIV/0!</v>
      </c>
    </row>
    <row r="28" spans="2:9" ht="48" x14ac:dyDescent="0.25">
      <c r="B28" s="39" t="s">
        <v>102</v>
      </c>
      <c r="C28" s="40" t="s">
        <v>125</v>
      </c>
      <c r="D28" s="30"/>
      <c r="E28" s="35" t="s">
        <v>115</v>
      </c>
      <c r="F28" s="48"/>
      <c r="G28" s="48"/>
      <c r="H28" s="7" t="e">
        <f t="shared" si="2"/>
        <v>#DIV/0!</v>
      </c>
      <c r="I28" s="31" t="e">
        <f t="shared" si="3"/>
        <v>#DIV/0!</v>
      </c>
    </row>
    <row r="29" spans="2:9" ht="36" x14ac:dyDescent="0.25">
      <c r="B29" s="39" t="s">
        <v>103</v>
      </c>
      <c r="C29" s="40" t="s">
        <v>126</v>
      </c>
      <c r="D29" s="52"/>
      <c r="E29" s="36" t="s">
        <v>104</v>
      </c>
      <c r="F29" s="48"/>
      <c r="G29" s="48"/>
      <c r="H29" s="7" t="e">
        <f t="shared" si="2"/>
        <v>#DIV/0!</v>
      </c>
      <c r="I29" s="31" t="e">
        <f t="shared" si="3"/>
        <v>#DIV/0!</v>
      </c>
    </row>
    <row r="30" spans="2:9" ht="36" x14ac:dyDescent="0.25">
      <c r="B30" s="39" t="s">
        <v>105</v>
      </c>
      <c r="C30" s="40" t="s">
        <v>126</v>
      </c>
      <c r="D30" s="52"/>
      <c r="E30" s="36" t="s">
        <v>150</v>
      </c>
      <c r="F30" s="48"/>
      <c r="G30" s="48"/>
      <c r="H30" s="7" t="e">
        <f t="shared" si="2"/>
        <v>#DIV/0!</v>
      </c>
      <c r="I30" s="31" t="e">
        <f t="shared" si="3"/>
        <v>#DIV/0!</v>
      </c>
    </row>
    <row r="31" spans="2:9" ht="48" x14ac:dyDescent="0.25">
      <c r="B31" s="39" t="s">
        <v>107</v>
      </c>
      <c r="C31" s="40" t="s">
        <v>126</v>
      </c>
      <c r="D31" s="52"/>
      <c r="E31" s="36" t="s">
        <v>150</v>
      </c>
      <c r="F31" s="48"/>
      <c r="G31" s="48"/>
      <c r="H31" s="7" t="e">
        <f t="shared" si="2"/>
        <v>#DIV/0!</v>
      </c>
      <c r="I31" s="31" t="e">
        <f t="shared" si="3"/>
        <v>#DIV/0!</v>
      </c>
    </row>
    <row r="32" spans="2:9" ht="48" x14ac:dyDescent="0.25">
      <c r="B32" s="39" t="s">
        <v>108</v>
      </c>
      <c r="C32" s="40" t="s">
        <v>126</v>
      </c>
      <c r="D32" s="30"/>
      <c r="E32" s="36" t="s">
        <v>106</v>
      </c>
      <c r="F32" s="48"/>
      <c r="G32" s="48"/>
      <c r="H32" s="7" t="e">
        <f t="shared" si="2"/>
        <v>#DIV/0!</v>
      </c>
      <c r="I32" s="31" t="e">
        <f t="shared" si="3"/>
        <v>#DIV/0!</v>
      </c>
    </row>
    <row r="33" spans="2:9" ht="24" x14ac:dyDescent="0.25">
      <c r="B33" s="39" t="s">
        <v>109</v>
      </c>
      <c r="C33" s="40" t="s">
        <v>126</v>
      </c>
      <c r="D33" s="30"/>
      <c r="E33" s="36" t="s">
        <v>110</v>
      </c>
      <c r="F33" s="48"/>
      <c r="G33" s="48"/>
      <c r="H33" s="7" t="e">
        <f t="shared" si="2"/>
        <v>#DIV/0!</v>
      </c>
      <c r="I33" s="31" t="e">
        <f t="shared" si="3"/>
        <v>#DIV/0!</v>
      </c>
    </row>
    <row r="34" spans="2:9" ht="24" x14ac:dyDescent="0.25">
      <c r="B34" s="39" t="s">
        <v>111</v>
      </c>
      <c r="C34" s="40" t="s">
        <v>124</v>
      </c>
      <c r="D34" s="30"/>
      <c r="E34" s="36" t="s">
        <v>112</v>
      </c>
      <c r="F34" s="48"/>
      <c r="G34" s="48"/>
      <c r="H34" s="7" t="e">
        <f t="shared" si="2"/>
        <v>#DIV/0!</v>
      </c>
      <c r="I34" s="31" t="e">
        <f t="shared" si="3"/>
        <v>#DIV/0!</v>
      </c>
    </row>
    <row r="35" spans="2:9" x14ac:dyDescent="0.25">
      <c r="B35" s="39" t="s">
        <v>113</v>
      </c>
      <c r="C35" s="40" t="s">
        <v>122</v>
      </c>
      <c r="D35" s="48"/>
      <c r="E35" s="36" t="s">
        <v>114</v>
      </c>
      <c r="F35" s="48"/>
      <c r="G35" s="48"/>
      <c r="H35" s="7" t="e">
        <f t="shared" si="2"/>
        <v>#DIV/0!</v>
      </c>
      <c r="I35" s="31" t="e">
        <f t="shared" si="3"/>
        <v>#DIV/0!</v>
      </c>
    </row>
    <row r="36" spans="2:9" ht="9.9499999999999993" customHeight="1" x14ac:dyDescent="0.25">
      <c r="B36" s="56"/>
      <c r="C36" s="56"/>
      <c r="D36" s="56"/>
      <c r="E36" s="56"/>
      <c r="F36" s="56"/>
      <c r="G36" s="56"/>
      <c r="I36" s="27"/>
    </row>
    <row r="37" spans="2:9" ht="39.950000000000003" customHeight="1" x14ac:dyDescent="0.25">
      <c r="B37" s="87" t="s">
        <v>10</v>
      </c>
      <c r="C37" s="87"/>
      <c r="D37" s="91" t="s">
        <v>116</v>
      </c>
      <c r="E37" s="91"/>
      <c r="F37" s="91"/>
      <c r="G37" s="91"/>
      <c r="I37" s="27"/>
    </row>
    <row r="38" spans="2:9" ht="9.9499999999999993" customHeight="1" x14ac:dyDescent="0.25">
      <c r="B38" s="56"/>
      <c r="C38" s="56"/>
      <c r="D38" s="56"/>
      <c r="E38" s="56"/>
      <c r="F38" s="56"/>
      <c r="G38" s="56"/>
      <c r="I38" s="27"/>
    </row>
    <row r="39" spans="2:9" ht="30" customHeight="1" x14ac:dyDescent="0.25">
      <c r="B39" s="87" t="s">
        <v>64</v>
      </c>
      <c r="C39" s="87"/>
      <c r="D39" s="65" t="s">
        <v>117</v>
      </c>
      <c r="E39" s="65"/>
      <c r="F39" s="65"/>
      <c r="G39" s="65"/>
      <c r="I39" s="27"/>
    </row>
    <row r="40" spans="2:9" ht="9.9499999999999993" customHeight="1" x14ac:dyDescent="0.25">
      <c r="B40" s="56"/>
      <c r="C40" s="56"/>
      <c r="D40" s="56"/>
      <c r="E40" s="56"/>
      <c r="F40" s="56"/>
      <c r="G40" s="56"/>
      <c r="I40" s="27"/>
    </row>
    <row r="41" spans="2:9" ht="42.95" customHeight="1" x14ac:dyDescent="0.25">
      <c r="B41" s="46" t="s">
        <v>0</v>
      </c>
      <c r="C41" s="46" t="s">
        <v>3</v>
      </c>
      <c r="D41" s="46" t="s">
        <v>4</v>
      </c>
      <c r="E41" s="46" t="s">
        <v>5</v>
      </c>
      <c r="F41" s="46" t="s">
        <v>6</v>
      </c>
      <c r="G41" s="46" t="s">
        <v>7</v>
      </c>
      <c r="H41" s="46" t="s">
        <v>8</v>
      </c>
      <c r="I41" s="51" t="s">
        <v>149</v>
      </c>
    </row>
    <row r="42" spans="2:9" s="41" customFormat="1" ht="36.75" thickBot="1" x14ac:dyDescent="0.3">
      <c r="B42" s="40" t="s">
        <v>118</v>
      </c>
      <c r="C42" s="40" t="s">
        <v>127</v>
      </c>
      <c r="D42" s="30"/>
      <c r="E42" s="32"/>
      <c r="F42" s="48"/>
      <c r="G42" s="48"/>
      <c r="H42" s="7" t="e">
        <f>G42/F42*100</f>
        <v>#DIV/0!</v>
      </c>
      <c r="I42" s="31" t="e">
        <f>IF(H42&gt;=50,"CONSIDERAR","NO")</f>
        <v>#DIV/0!</v>
      </c>
    </row>
    <row r="43" spans="2:9" s="41" customFormat="1" ht="24.75" thickBot="1" x14ac:dyDescent="0.3">
      <c r="B43" s="40" t="s">
        <v>151</v>
      </c>
      <c r="C43" s="40" t="s">
        <v>127</v>
      </c>
      <c r="D43" s="30"/>
      <c r="E43" s="32"/>
      <c r="F43" s="48"/>
      <c r="G43" s="48"/>
      <c r="H43" s="7" t="e">
        <f>G43/F43*100</f>
        <v>#DIV/0!</v>
      </c>
      <c r="I43" s="31" t="e">
        <f>IF(H43&gt;=50,"CONSIDERAR","NO")</f>
        <v>#DIV/0!</v>
      </c>
    </row>
    <row r="44" spans="2:9" ht="9.9499999999999993" customHeight="1" x14ac:dyDescent="0.25">
      <c r="B44" s="57"/>
      <c r="C44" s="57"/>
      <c r="D44" s="57"/>
      <c r="E44" s="57"/>
      <c r="F44" s="57"/>
      <c r="G44" s="57"/>
      <c r="I44" s="27"/>
    </row>
    <row r="45" spans="2:9" ht="30" customHeight="1" x14ac:dyDescent="0.25">
      <c r="B45" s="83" t="s">
        <v>87</v>
      </c>
      <c r="C45" s="84"/>
      <c r="D45" s="85" t="s">
        <v>138</v>
      </c>
      <c r="E45" s="86"/>
      <c r="F45" s="86"/>
      <c r="G45" s="86"/>
      <c r="I45" s="27"/>
    </row>
    <row r="46" spans="2:9" ht="9.9499999999999993" customHeight="1" x14ac:dyDescent="0.25">
      <c r="B46" s="89"/>
      <c r="C46" s="89"/>
      <c r="D46" s="89"/>
      <c r="E46" s="89"/>
      <c r="F46" s="89"/>
      <c r="G46" s="89"/>
      <c r="I46" s="27"/>
    </row>
    <row r="47" spans="2:9" ht="42.95" customHeight="1" x14ac:dyDescent="0.25">
      <c r="B47" s="46" t="s">
        <v>0</v>
      </c>
      <c r="C47" s="46" t="s">
        <v>3</v>
      </c>
      <c r="D47" s="46" t="s">
        <v>4</v>
      </c>
      <c r="E47" s="46" t="s">
        <v>5</v>
      </c>
      <c r="F47" s="46" t="s">
        <v>6</v>
      </c>
      <c r="G47" s="46" t="s">
        <v>7</v>
      </c>
      <c r="H47" s="46" t="s">
        <v>8</v>
      </c>
      <c r="I47" s="51" t="s">
        <v>149</v>
      </c>
    </row>
    <row r="48" spans="2:9" s="41" customFormat="1" ht="36.75" thickBot="1" x14ac:dyDescent="0.3">
      <c r="B48" s="39" t="s">
        <v>119</v>
      </c>
      <c r="C48" s="40" t="s">
        <v>128</v>
      </c>
      <c r="D48" s="30"/>
      <c r="E48" s="33"/>
      <c r="F48" s="48"/>
      <c r="G48" s="48"/>
      <c r="H48" s="7" t="e">
        <f>G48/F48*100</f>
        <v>#DIV/0!</v>
      </c>
      <c r="I48" s="31" t="e">
        <f>IF(H48&gt;=50,"CONSIDERAR","NO")</f>
        <v>#DIV/0!</v>
      </c>
    </row>
    <row r="49" spans="2:9" ht="9.9499999999999993" customHeight="1" x14ac:dyDescent="0.25">
      <c r="I49" s="27"/>
    </row>
    <row r="50" spans="2:9" ht="30" customHeight="1" x14ac:dyDescent="0.25">
      <c r="B50" s="90" t="s">
        <v>11</v>
      </c>
      <c r="C50" s="90"/>
      <c r="D50" s="91" t="s">
        <v>120</v>
      </c>
      <c r="E50" s="91"/>
      <c r="F50" s="91"/>
      <c r="G50" s="91"/>
      <c r="I50" s="27"/>
    </row>
    <row r="51" spans="2:9" ht="9.9499999999999993" customHeight="1" x14ac:dyDescent="0.25">
      <c r="B51" s="56"/>
      <c r="C51" s="56"/>
      <c r="D51" s="56"/>
      <c r="E51" s="56"/>
      <c r="F51" s="56"/>
      <c r="G51" s="56"/>
      <c r="I51" s="27"/>
    </row>
    <row r="52" spans="2:9" ht="30" customHeight="1" x14ac:dyDescent="0.25">
      <c r="B52" s="90" t="s">
        <v>88</v>
      </c>
      <c r="C52" s="90"/>
      <c r="D52" s="88" t="s">
        <v>146</v>
      </c>
      <c r="E52" s="88"/>
      <c r="F52" s="88"/>
      <c r="G52" s="88"/>
      <c r="I52" s="27"/>
    </row>
    <row r="53" spans="2:9" ht="9.9499999999999993" customHeight="1" x14ac:dyDescent="0.25">
      <c r="B53" s="56"/>
      <c r="C53" s="56"/>
      <c r="D53" s="56"/>
      <c r="E53" s="56"/>
      <c r="F53" s="56"/>
      <c r="G53" s="56"/>
      <c r="I53" s="27"/>
    </row>
    <row r="54" spans="2:9" ht="42.95" customHeight="1" x14ac:dyDescent="0.25">
      <c r="B54" s="46" t="s">
        <v>0</v>
      </c>
      <c r="C54" s="46" t="s">
        <v>3</v>
      </c>
      <c r="D54" s="46" t="s">
        <v>4</v>
      </c>
      <c r="E54" s="46" t="s">
        <v>5</v>
      </c>
      <c r="F54" s="46" t="s">
        <v>6</v>
      </c>
      <c r="G54" s="46" t="s">
        <v>7</v>
      </c>
      <c r="H54" s="46" t="s">
        <v>8</v>
      </c>
      <c r="I54" s="51" t="s">
        <v>149</v>
      </c>
    </row>
    <row r="55" spans="2:9" s="49" customFormat="1" ht="43.15" customHeight="1" x14ac:dyDescent="0.25">
      <c r="B55" s="40" t="s">
        <v>147</v>
      </c>
      <c r="C55" s="40" t="s">
        <v>148</v>
      </c>
      <c r="D55" s="50"/>
      <c r="E55" s="40"/>
      <c r="F55" s="30"/>
      <c r="G55" s="30"/>
      <c r="H55" s="7" t="e">
        <f>G55/F55*100</f>
        <v>#DIV/0!</v>
      </c>
      <c r="I55" s="31" t="e">
        <f>IF(H55&gt;=50,"CONSIDERAR","NO")</f>
        <v>#DIV/0!</v>
      </c>
    </row>
    <row r="56" spans="2:9" ht="9.9499999999999993" customHeight="1" x14ac:dyDescent="0.25">
      <c r="B56" s="56"/>
      <c r="C56" s="56"/>
      <c r="D56" s="56"/>
      <c r="E56" s="56"/>
      <c r="F56" s="56"/>
      <c r="G56" s="56"/>
      <c r="I56" s="27"/>
    </row>
    <row r="57" spans="2:9" ht="30" customHeight="1" x14ac:dyDescent="0.25">
      <c r="B57" s="90" t="s">
        <v>89</v>
      </c>
      <c r="C57" s="90"/>
      <c r="D57" s="65" t="s">
        <v>139</v>
      </c>
      <c r="E57" s="65"/>
      <c r="F57" s="65"/>
      <c r="G57" s="65"/>
      <c r="I57" s="27"/>
    </row>
    <row r="58" spans="2:9" ht="9.9499999999999993" customHeight="1" x14ac:dyDescent="0.25">
      <c r="B58" s="56"/>
      <c r="C58" s="56"/>
      <c r="D58" s="56"/>
      <c r="E58" s="56"/>
      <c r="F58" s="56"/>
      <c r="G58" s="56"/>
      <c r="I58" s="27"/>
    </row>
    <row r="59" spans="2:9" ht="42.95" customHeight="1" x14ac:dyDescent="0.25">
      <c r="B59" s="37" t="s">
        <v>0</v>
      </c>
      <c r="C59" s="37" t="s">
        <v>3</v>
      </c>
      <c r="D59" s="37" t="s">
        <v>4</v>
      </c>
      <c r="E59" s="37" t="s">
        <v>5</v>
      </c>
      <c r="F59" s="37" t="s">
        <v>6</v>
      </c>
      <c r="G59" s="37" t="s">
        <v>7</v>
      </c>
      <c r="H59" s="37" t="s">
        <v>8</v>
      </c>
      <c r="I59" s="51" t="s">
        <v>149</v>
      </c>
    </row>
    <row r="60" spans="2:9" ht="24" x14ac:dyDescent="0.25">
      <c r="B60" s="40" t="s">
        <v>140</v>
      </c>
      <c r="C60" s="40" t="s">
        <v>141</v>
      </c>
      <c r="D60" s="50"/>
      <c r="E60" s="40"/>
      <c r="F60" s="48"/>
      <c r="G60" s="48"/>
      <c r="H60" s="7" t="e">
        <f>G60/F60*100</f>
        <v>#DIV/0!</v>
      </c>
      <c r="I60" s="31" t="e">
        <f>IF(H60&gt;=50,"CONSIDERAR","NO")</f>
        <v>#DIV/0!</v>
      </c>
    </row>
    <row r="61" spans="2:9" ht="9.9499999999999993" customHeight="1" x14ac:dyDescent="0.25">
      <c r="B61" s="57"/>
      <c r="C61" s="57"/>
      <c r="D61" s="57"/>
      <c r="E61" s="57"/>
      <c r="F61" s="57"/>
      <c r="G61" s="57"/>
      <c r="I61" s="27"/>
    </row>
    <row r="62" spans="2:9" ht="39.950000000000003" customHeight="1" x14ac:dyDescent="0.25">
      <c r="B62" s="92" t="s">
        <v>13</v>
      </c>
      <c r="C62" s="92"/>
      <c r="D62" s="88" t="s">
        <v>142</v>
      </c>
      <c r="E62" s="88"/>
      <c r="F62" s="88"/>
      <c r="G62" s="88"/>
      <c r="I62" s="27"/>
    </row>
    <row r="63" spans="2:9" ht="9.9499999999999993" customHeight="1" x14ac:dyDescent="0.25">
      <c r="B63" s="56"/>
      <c r="C63" s="56"/>
      <c r="D63" s="56"/>
      <c r="E63" s="56"/>
      <c r="F63" s="56"/>
      <c r="G63" s="56"/>
      <c r="I63" s="27"/>
    </row>
    <row r="64" spans="2:9" ht="30" customHeight="1" x14ac:dyDescent="0.25">
      <c r="B64" s="92" t="s">
        <v>90</v>
      </c>
      <c r="C64" s="92"/>
      <c r="D64" s="65" t="s">
        <v>143</v>
      </c>
      <c r="E64" s="65"/>
      <c r="F64" s="65"/>
      <c r="G64" s="65"/>
      <c r="I64" s="27"/>
    </row>
    <row r="65" spans="2:9" ht="9.9499999999999993" customHeight="1" x14ac:dyDescent="0.25">
      <c r="B65" s="56"/>
      <c r="C65" s="56"/>
      <c r="D65" s="56"/>
      <c r="E65" s="56"/>
      <c r="F65" s="56"/>
      <c r="G65" s="56"/>
      <c r="I65" s="27"/>
    </row>
    <row r="66" spans="2:9" ht="39.950000000000003" customHeight="1" x14ac:dyDescent="0.25">
      <c r="B66" s="46" t="s">
        <v>0</v>
      </c>
      <c r="C66" s="46" t="s">
        <v>3</v>
      </c>
      <c r="D66" s="46" t="s">
        <v>4</v>
      </c>
      <c r="E66" s="46" t="s">
        <v>5</v>
      </c>
      <c r="F66" s="46" t="s">
        <v>6</v>
      </c>
      <c r="G66" s="46" t="s">
        <v>7</v>
      </c>
      <c r="H66" s="46" t="s">
        <v>8</v>
      </c>
      <c r="I66" s="51" t="s">
        <v>149</v>
      </c>
    </row>
    <row r="67" spans="2:9" ht="72.75" thickBot="1" x14ac:dyDescent="0.3">
      <c r="B67" s="40" t="s">
        <v>121</v>
      </c>
      <c r="C67" s="40" t="s">
        <v>129</v>
      </c>
      <c r="D67" s="30"/>
      <c r="E67" s="34"/>
      <c r="F67" s="48"/>
      <c r="G67" s="48"/>
      <c r="H67" s="7" t="e">
        <f>G67/F67*100</f>
        <v>#DIV/0!</v>
      </c>
      <c r="I67" s="31" t="e">
        <f>IF(H67&gt;=50,"CONSIDERAR","NO")</f>
        <v>#DIV/0!</v>
      </c>
    </row>
    <row r="68" spans="2:9" ht="30" customHeight="1" x14ac:dyDescent="0.25"/>
    <row r="69" spans="2:9" ht="30" customHeight="1" x14ac:dyDescent="0.25"/>
    <row r="70" spans="2:9" ht="30" customHeight="1" x14ac:dyDescent="0.25"/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</sheetData>
  <mergeCells count="57">
    <mergeCell ref="B7:G7"/>
    <mergeCell ref="B1:G1"/>
    <mergeCell ref="B2:G2"/>
    <mergeCell ref="O2:P2"/>
    <mergeCell ref="B3:G3"/>
    <mergeCell ref="B4:C4"/>
    <mergeCell ref="D4:G4"/>
    <mergeCell ref="P4:Q4"/>
    <mergeCell ref="B5:G5"/>
    <mergeCell ref="B6:C6"/>
    <mergeCell ref="D6:G6"/>
    <mergeCell ref="K6:M6"/>
    <mergeCell ref="P6:Q6"/>
    <mergeCell ref="B19:G19"/>
    <mergeCell ref="O8:Q8"/>
    <mergeCell ref="O9:Q9"/>
    <mergeCell ref="O10:Q10"/>
    <mergeCell ref="B12:G12"/>
    <mergeCell ref="B13:C13"/>
    <mergeCell ref="D13:G13"/>
    <mergeCell ref="P13:V13"/>
    <mergeCell ref="B14:G14"/>
    <mergeCell ref="P15:R15"/>
    <mergeCell ref="B17:G17"/>
    <mergeCell ref="B18:C18"/>
    <mergeCell ref="D18:G18"/>
    <mergeCell ref="B45:C45"/>
    <mergeCell ref="D45:G45"/>
    <mergeCell ref="B20:C20"/>
    <mergeCell ref="D20:G20"/>
    <mergeCell ref="B21:G21"/>
    <mergeCell ref="B36:G36"/>
    <mergeCell ref="B37:C37"/>
    <mergeCell ref="D37:G37"/>
    <mergeCell ref="B38:G38"/>
    <mergeCell ref="B39:C39"/>
    <mergeCell ref="D39:G39"/>
    <mergeCell ref="B40:G40"/>
    <mergeCell ref="B44:G44"/>
    <mergeCell ref="B46:G46"/>
    <mergeCell ref="B50:C50"/>
    <mergeCell ref="D50:G50"/>
    <mergeCell ref="B51:G51"/>
    <mergeCell ref="B52:C52"/>
    <mergeCell ref="D52:G52"/>
    <mergeCell ref="B65:G65"/>
    <mergeCell ref="B53:G53"/>
    <mergeCell ref="B56:G56"/>
    <mergeCell ref="B57:C57"/>
    <mergeCell ref="D57:G57"/>
    <mergeCell ref="B58:G58"/>
    <mergeCell ref="B61:G61"/>
    <mergeCell ref="B62:C62"/>
    <mergeCell ref="D62:G62"/>
    <mergeCell ref="B63:G63"/>
    <mergeCell ref="B64:C64"/>
    <mergeCell ref="D64:G64"/>
  </mergeCells>
  <conditionalFormatting sqref="H9:H11">
    <cfRule type="cellIs" dxfId="77" priority="22" operator="lessThan">
      <formula>75</formula>
    </cfRule>
    <cfRule type="cellIs" dxfId="76" priority="23" operator="between">
      <formula>75</formula>
      <formula>94</formula>
    </cfRule>
    <cfRule type="cellIs" dxfId="75" priority="24" operator="greaterThanOrEqual">
      <formula>95</formula>
    </cfRule>
  </conditionalFormatting>
  <conditionalFormatting sqref="H16">
    <cfRule type="cellIs" dxfId="74" priority="19" operator="lessThan">
      <formula>75</formula>
    </cfRule>
    <cfRule type="cellIs" dxfId="73" priority="20" operator="between">
      <formula>75</formula>
      <formula>94</formula>
    </cfRule>
    <cfRule type="cellIs" dxfId="72" priority="21" operator="greaterThanOrEqual">
      <formula>95</formula>
    </cfRule>
  </conditionalFormatting>
  <conditionalFormatting sqref="H23:H35">
    <cfRule type="cellIs" dxfId="71" priority="16" operator="lessThan">
      <formula>75</formula>
    </cfRule>
    <cfRule type="cellIs" dxfId="70" priority="17" operator="between">
      <formula>75</formula>
      <formula>94</formula>
    </cfRule>
    <cfRule type="cellIs" dxfId="69" priority="18" operator="greaterThanOrEqual">
      <formula>95</formula>
    </cfRule>
  </conditionalFormatting>
  <conditionalFormatting sqref="H42:H43">
    <cfRule type="cellIs" dxfId="68" priority="13" operator="lessThan">
      <formula>75</formula>
    </cfRule>
    <cfRule type="cellIs" dxfId="67" priority="14" operator="between">
      <formula>75</formula>
      <formula>94</formula>
    </cfRule>
    <cfRule type="cellIs" dxfId="66" priority="15" operator="greaterThanOrEqual">
      <formula>95</formula>
    </cfRule>
  </conditionalFormatting>
  <conditionalFormatting sqref="H48">
    <cfRule type="cellIs" dxfId="65" priority="10" operator="lessThan">
      <formula>75</formula>
    </cfRule>
    <cfRule type="cellIs" dxfId="64" priority="11" operator="between">
      <formula>75</formula>
      <formula>94</formula>
    </cfRule>
    <cfRule type="cellIs" dxfId="63" priority="12" operator="greaterThanOrEqual">
      <formula>95</formula>
    </cfRule>
  </conditionalFormatting>
  <conditionalFormatting sqref="H55">
    <cfRule type="cellIs" dxfId="62" priority="7" operator="lessThan">
      <formula>75</formula>
    </cfRule>
    <cfRule type="cellIs" dxfId="61" priority="8" operator="between">
      <formula>75</formula>
      <formula>94</formula>
    </cfRule>
    <cfRule type="cellIs" dxfId="60" priority="9" operator="greaterThanOrEqual">
      <formula>95</formula>
    </cfRule>
  </conditionalFormatting>
  <conditionalFormatting sqref="H60">
    <cfRule type="cellIs" dxfId="59" priority="4" operator="lessThan">
      <formula>75</formula>
    </cfRule>
    <cfRule type="cellIs" dxfId="58" priority="5" operator="between">
      <formula>75</formula>
      <formula>94</formula>
    </cfRule>
    <cfRule type="cellIs" dxfId="57" priority="6" operator="greaterThanOrEqual">
      <formula>95</formula>
    </cfRule>
  </conditionalFormatting>
  <conditionalFormatting sqref="H67">
    <cfRule type="cellIs" dxfId="56" priority="1" operator="lessThan">
      <formula>75</formula>
    </cfRule>
    <cfRule type="cellIs" dxfId="55" priority="2" operator="between">
      <formula>75</formula>
      <formula>94</formula>
    </cfRule>
    <cfRule type="cellIs" dxfId="54" priority="3" operator="greaterThanOrEqual">
      <formula>95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FEC4-60AB-4E50-B3B4-C157FCCBE27E}">
  <dimension ref="B1:V607"/>
  <sheetViews>
    <sheetView topLeftCell="A10" workbookViewId="0">
      <selection activeCell="M11" sqref="M11"/>
    </sheetView>
  </sheetViews>
  <sheetFormatPr baseColWidth="10" defaultColWidth="11.42578125" defaultRowHeight="15" x14ac:dyDescent="0.25"/>
  <cols>
    <col min="1" max="1" width="10.7109375" style="44" customWidth="1"/>
    <col min="2" max="2" width="35.7109375" style="44" customWidth="1"/>
    <col min="3" max="4" width="25.7109375" style="44" customWidth="1"/>
    <col min="5" max="7" width="15.7109375" style="44" customWidth="1"/>
    <col min="8" max="8" width="15.7109375" style="44" hidden="1" customWidth="1"/>
    <col min="9" max="9" width="16.85546875" style="44" hidden="1" customWidth="1"/>
    <col min="10" max="12" width="11.42578125" style="44"/>
    <col min="13" max="13" width="16.7109375" style="44" customWidth="1"/>
    <col min="14" max="14" width="11.42578125" style="44"/>
    <col min="15" max="15" width="12.28515625" style="44" hidden="1" customWidth="1"/>
    <col min="16" max="16" width="11.85546875" style="44" hidden="1" customWidth="1"/>
    <col min="17" max="22" width="11.42578125" style="44" hidden="1" customWidth="1"/>
    <col min="23" max="16384" width="11.42578125" style="44"/>
  </cols>
  <sheetData>
    <row r="1" spans="2:22" ht="9.9499999999999993" customHeight="1" x14ac:dyDescent="0.25">
      <c r="B1" s="57"/>
      <c r="C1" s="57"/>
      <c r="D1" s="57"/>
      <c r="E1" s="57"/>
      <c r="F1" s="57"/>
      <c r="G1" s="57"/>
    </row>
    <row r="2" spans="2:22" ht="39.950000000000003" customHeight="1" x14ac:dyDescent="0.25">
      <c r="B2" s="58" t="s">
        <v>68</v>
      </c>
      <c r="C2" s="59"/>
      <c r="D2" s="59"/>
      <c r="E2" s="59"/>
      <c r="F2" s="59"/>
      <c r="G2" s="59"/>
      <c r="O2" s="60" t="s">
        <v>77</v>
      </c>
      <c r="P2" s="60"/>
    </row>
    <row r="3" spans="2:22" ht="9.9499999999999993" customHeight="1" x14ac:dyDescent="0.25">
      <c r="B3" s="61"/>
      <c r="C3" s="61"/>
      <c r="D3" s="61"/>
      <c r="E3" s="61"/>
      <c r="F3" s="61"/>
      <c r="G3" s="61"/>
    </row>
    <row r="4" spans="2:22" ht="39.950000000000003" customHeight="1" x14ac:dyDescent="0.25">
      <c r="B4" s="59" t="s">
        <v>2</v>
      </c>
      <c r="C4" s="59"/>
      <c r="D4" s="62" t="s">
        <v>144</v>
      </c>
      <c r="E4" s="63"/>
      <c r="F4" s="63"/>
      <c r="G4" s="63"/>
      <c r="O4" s="45" t="s">
        <v>78</v>
      </c>
      <c r="P4" s="64" t="s">
        <v>79</v>
      </c>
      <c r="Q4" s="64"/>
    </row>
    <row r="5" spans="2:22" ht="9.9499999999999993" customHeight="1" x14ac:dyDescent="0.25">
      <c r="B5" s="61"/>
      <c r="C5" s="61"/>
      <c r="D5" s="61"/>
      <c r="E5" s="61"/>
      <c r="F5" s="61"/>
      <c r="G5" s="61"/>
    </row>
    <row r="6" spans="2:22" ht="30" customHeight="1" x14ac:dyDescent="0.25">
      <c r="B6" s="59" t="s">
        <v>59</v>
      </c>
      <c r="C6" s="59"/>
      <c r="D6" s="65" t="s">
        <v>136</v>
      </c>
      <c r="E6" s="65"/>
      <c r="F6" s="65"/>
      <c r="G6" s="65"/>
      <c r="K6" s="66" t="s">
        <v>91</v>
      </c>
      <c r="L6" s="67"/>
      <c r="M6" s="68"/>
      <c r="O6" s="18" t="s">
        <v>80</v>
      </c>
      <c r="P6" s="64" t="s">
        <v>84</v>
      </c>
      <c r="Q6" s="64"/>
    </row>
    <row r="7" spans="2:22" ht="9.9499999999999993" customHeight="1" x14ac:dyDescent="0.25">
      <c r="B7" s="56"/>
      <c r="C7" s="56"/>
      <c r="D7" s="56"/>
      <c r="E7" s="56"/>
      <c r="F7" s="56"/>
      <c r="G7" s="56"/>
      <c r="O7" s="19"/>
      <c r="P7" s="20"/>
      <c r="Q7" s="21"/>
    </row>
    <row r="8" spans="2:22" s="49" customFormat="1" ht="45" x14ac:dyDescent="0.25">
      <c r="B8" s="46" t="s">
        <v>0</v>
      </c>
      <c r="C8" s="46" t="s">
        <v>3</v>
      </c>
      <c r="D8" s="46" t="s">
        <v>4</v>
      </c>
      <c r="E8" s="46" t="s">
        <v>5</v>
      </c>
      <c r="F8" s="46" t="s">
        <v>6</v>
      </c>
      <c r="G8" s="46" t="s">
        <v>7</v>
      </c>
      <c r="H8" s="46" t="s">
        <v>8</v>
      </c>
      <c r="I8" s="51" t="s">
        <v>149</v>
      </c>
      <c r="K8" s="46" t="s">
        <v>69</v>
      </c>
      <c r="L8" s="46" t="s">
        <v>70</v>
      </c>
      <c r="M8" s="46" t="s">
        <v>71</v>
      </c>
      <c r="O8" s="69" t="s">
        <v>81</v>
      </c>
      <c r="P8" s="70"/>
      <c r="Q8" s="71"/>
      <c r="R8" s="23"/>
    </row>
    <row r="9" spans="2:22" ht="24" x14ac:dyDescent="0.25">
      <c r="B9" s="39" t="s">
        <v>145</v>
      </c>
      <c r="C9" s="40" t="s">
        <v>133</v>
      </c>
      <c r="D9" s="50"/>
      <c r="E9" s="40"/>
      <c r="F9" s="48"/>
      <c r="G9" s="48"/>
      <c r="H9" s="7" t="e">
        <f>G9/F9*100</f>
        <v>#DIV/0!</v>
      </c>
      <c r="I9" s="31" t="e">
        <f>IF(H9&gt;=50,"CONSIDERAR","NO")</f>
        <v>#DIV/0!</v>
      </c>
      <c r="K9" s="13">
        <f>COUNT(F9:F11)+COUNT(F16:F16)+COUNT(#REF!)+COUNT(F23:F24)+COUNT(F25)+COUNT(#REF!)+COUNT(F55:F55)+COUNT(#REF!)+COUNT(F67:F67)+COUNT(F26:F27)+COUNT(F28:F35)+COUNT(F48:F48)+COUNT(F43)+COUNT(#REF!)+COUNT(#REF!)+COUNT(F60:F60)+COUNT(#REF!)</f>
        <v>0</v>
      </c>
      <c r="L9" s="13">
        <f>COUNTIF(I9:I67,"CONSIDERAR")</f>
        <v>0</v>
      </c>
      <c r="M9" s="17"/>
      <c r="O9" s="72" t="s">
        <v>83</v>
      </c>
      <c r="P9" s="73"/>
      <c r="Q9" s="74"/>
    </row>
    <row r="10" spans="2:22" ht="36" x14ac:dyDescent="0.25">
      <c r="B10" s="39" t="s">
        <v>130</v>
      </c>
      <c r="C10" s="40" t="s">
        <v>131</v>
      </c>
      <c r="D10" s="50"/>
      <c r="E10" s="40"/>
      <c r="F10" s="48"/>
      <c r="G10" s="48"/>
      <c r="H10" s="7" t="e">
        <f t="shared" ref="H10:H11" si="0">G10/F10*100</f>
        <v>#DIV/0!</v>
      </c>
      <c r="I10" s="31" t="e">
        <f t="shared" ref="I10:I11" si="1">IF(H10&gt;=50,"CONSIDERAR","NO")</f>
        <v>#DIV/0!</v>
      </c>
      <c r="O10" s="75" t="s">
        <v>82</v>
      </c>
      <c r="P10" s="76"/>
      <c r="Q10" s="77"/>
    </row>
    <row r="11" spans="2:22" ht="48" x14ac:dyDescent="0.25">
      <c r="B11" s="39" t="s">
        <v>132</v>
      </c>
      <c r="C11" s="40" t="s">
        <v>133</v>
      </c>
      <c r="D11" s="50"/>
      <c r="E11" s="40"/>
      <c r="F11" s="48"/>
      <c r="G11" s="48"/>
      <c r="H11" s="7" t="e">
        <f t="shared" si="0"/>
        <v>#DIV/0!</v>
      </c>
      <c r="I11" s="31" t="e">
        <f t="shared" si="1"/>
        <v>#DIV/0!</v>
      </c>
    </row>
    <row r="12" spans="2:22" ht="9.9499999999999993" customHeight="1" x14ac:dyDescent="0.25">
      <c r="B12" s="78"/>
      <c r="C12" s="78"/>
      <c r="D12" s="78"/>
      <c r="E12" s="78"/>
      <c r="F12" s="78"/>
      <c r="G12" s="78"/>
      <c r="I12" s="27"/>
      <c r="O12" s="47"/>
    </row>
    <row r="13" spans="2:22" ht="30" customHeight="1" x14ac:dyDescent="0.25">
      <c r="B13" s="79" t="s">
        <v>60</v>
      </c>
      <c r="C13" s="79"/>
      <c r="D13" s="80" t="s">
        <v>137</v>
      </c>
      <c r="E13" s="80"/>
      <c r="F13" s="80"/>
      <c r="G13" s="80"/>
      <c r="I13" s="27"/>
      <c r="O13" s="45" t="s">
        <v>73</v>
      </c>
      <c r="P13" s="81" t="s">
        <v>75</v>
      </c>
      <c r="Q13" s="81"/>
      <c r="R13" s="81"/>
      <c r="S13" s="81"/>
      <c r="T13" s="81"/>
      <c r="U13" s="81"/>
      <c r="V13" s="81"/>
    </row>
    <row r="14" spans="2:22" ht="9.9499999999999993" customHeight="1" x14ac:dyDescent="0.25">
      <c r="B14" s="56"/>
      <c r="C14" s="56"/>
      <c r="D14" s="56"/>
      <c r="E14" s="56"/>
      <c r="F14" s="56"/>
      <c r="G14" s="56"/>
      <c r="I14" s="27"/>
      <c r="O14" s="47"/>
    </row>
    <row r="15" spans="2:22" ht="45" customHeight="1" x14ac:dyDescent="0.25">
      <c r="B15" s="26" t="s">
        <v>0</v>
      </c>
      <c r="C15" s="26" t="s">
        <v>3</v>
      </c>
      <c r="D15" s="26" t="s">
        <v>4</v>
      </c>
      <c r="E15" s="26" t="s">
        <v>5</v>
      </c>
      <c r="F15" s="26" t="s">
        <v>6</v>
      </c>
      <c r="G15" s="26" t="s">
        <v>7</v>
      </c>
      <c r="H15" s="46" t="s">
        <v>8</v>
      </c>
      <c r="I15" s="51" t="s">
        <v>149</v>
      </c>
      <c r="O15" s="45" t="s">
        <v>70</v>
      </c>
      <c r="P15" s="64" t="s">
        <v>72</v>
      </c>
      <c r="Q15" s="64"/>
      <c r="R15" s="64"/>
    </row>
    <row r="16" spans="2:22" ht="24" x14ac:dyDescent="0.25">
      <c r="B16" s="40" t="s">
        <v>134</v>
      </c>
      <c r="C16" s="40" t="s">
        <v>135</v>
      </c>
      <c r="D16" s="50"/>
      <c r="E16" s="40"/>
      <c r="F16" s="48"/>
      <c r="G16" s="48"/>
      <c r="H16" s="7" t="e">
        <f>G16/F16*100</f>
        <v>#DIV/0!</v>
      </c>
      <c r="I16" s="31" t="e">
        <f>IF(H16&gt;=50,"CONSIDERAR","NO")</f>
        <v>#DIV/0!</v>
      </c>
    </row>
    <row r="17" spans="2:9" ht="9.9499999999999993" customHeight="1" x14ac:dyDescent="0.25">
      <c r="B17" s="56"/>
      <c r="C17" s="56"/>
      <c r="D17" s="56"/>
      <c r="E17" s="56"/>
      <c r="F17" s="56"/>
      <c r="G17" s="56"/>
      <c r="I17" s="27"/>
    </row>
    <row r="18" spans="2:9" ht="39.950000000000003" customHeight="1" x14ac:dyDescent="0.25">
      <c r="B18" s="82" t="s">
        <v>9</v>
      </c>
      <c r="C18" s="82"/>
      <c r="D18" s="62" t="s">
        <v>92</v>
      </c>
      <c r="E18" s="63"/>
      <c r="F18" s="63"/>
      <c r="G18" s="63"/>
      <c r="I18" s="27"/>
    </row>
    <row r="19" spans="2:9" ht="9.9499999999999993" customHeight="1" x14ac:dyDescent="0.25">
      <c r="B19" s="56"/>
      <c r="C19" s="56"/>
      <c r="D19" s="56"/>
      <c r="E19" s="56"/>
      <c r="F19" s="56"/>
      <c r="G19" s="56"/>
      <c r="I19" s="27"/>
    </row>
    <row r="20" spans="2:9" ht="30" customHeight="1" x14ac:dyDescent="0.25">
      <c r="B20" s="82" t="s">
        <v>62</v>
      </c>
      <c r="C20" s="82"/>
      <c r="D20" s="65" t="s">
        <v>93</v>
      </c>
      <c r="E20" s="65"/>
      <c r="F20" s="65"/>
      <c r="G20" s="65"/>
      <c r="I20" s="27"/>
    </row>
    <row r="21" spans="2:9" ht="9.9499999999999993" customHeight="1" x14ac:dyDescent="0.25">
      <c r="B21" s="56"/>
      <c r="C21" s="56"/>
      <c r="D21" s="56"/>
      <c r="E21" s="56"/>
      <c r="F21" s="56"/>
      <c r="G21" s="56"/>
      <c r="I21" s="27"/>
    </row>
    <row r="22" spans="2:9" ht="45" customHeight="1" x14ac:dyDescent="0.25">
      <c r="B22" s="46" t="s">
        <v>0</v>
      </c>
      <c r="C22" s="46" t="s">
        <v>3</v>
      </c>
      <c r="D22" s="46" t="s">
        <v>4</v>
      </c>
      <c r="E22" s="46" t="s">
        <v>5</v>
      </c>
      <c r="F22" s="46" t="s">
        <v>6</v>
      </c>
      <c r="G22" s="46" t="s">
        <v>7</v>
      </c>
      <c r="H22" s="46" t="s">
        <v>8</v>
      </c>
      <c r="I22" s="51" t="s">
        <v>149</v>
      </c>
    </row>
    <row r="23" spans="2:9" x14ac:dyDescent="0.25">
      <c r="B23" s="40" t="s">
        <v>94</v>
      </c>
      <c r="C23" s="40" t="s">
        <v>122</v>
      </c>
      <c r="D23" s="30"/>
      <c r="E23" s="36" t="s">
        <v>95</v>
      </c>
      <c r="F23" s="48"/>
      <c r="G23" s="48"/>
      <c r="H23" s="7" t="e">
        <f>G23/F23*100</f>
        <v>#DIV/0!</v>
      </c>
      <c r="I23" s="31" t="e">
        <f>IF(H23&gt;=50,"CONSIDERAR","NO")</f>
        <v>#DIV/0!</v>
      </c>
    </row>
    <row r="24" spans="2:9" x14ac:dyDescent="0.25">
      <c r="B24" s="40" t="s">
        <v>96</v>
      </c>
      <c r="C24" s="40" t="s">
        <v>122</v>
      </c>
      <c r="D24" s="30"/>
      <c r="E24" s="36" t="s">
        <v>97</v>
      </c>
      <c r="F24" s="48"/>
      <c r="G24" s="48"/>
      <c r="H24" s="7" t="e">
        <f t="shared" ref="H24:H35" si="2">G24/F24*100</f>
        <v>#DIV/0!</v>
      </c>
      <c r="I24" s="31" t="e">
        <f t="shared" ref="I24:I35" si="3">IF(H24&gt;=50,"CONSIDERAR","NO")</f>
        <v>#DIV/0!</v>
      </c>
    </row>
    <row r="25" spans="2:9" x14ac:dyDescent="0.25">
      <c r="B25" s="40" t="s">
        <v>98</v>
      </c>
      <c r="C25" s="40" t="s">
        <v>123</v>
      </c>
      <c r="D25" s="27"/>
      <c r="E25" s="36" t="s">
        <v>97</v>
      </c>
      <c r="F25" s="48"/>
      <c r="G25" s="48"/>
      <c r="H25" s="7" t="e">
        <f t="shared" si="2"/>
        <v>#DIV/0!</v>
      </c>
      <c r="I25" s="31" t="e">
        <f t="shared" si="3"/>
        <v>#DIV/0!</v>
      </c>
    </row>
    <row r="26" spans="2:9" ht="36" x14ac:dyDescent="0.25">
      <c r="B26" s="39" t="s">
        <v>99</v>
      </c>
      <c r="C26" s="40" t="s">
        <v>124</v>
      </c>
      <c r="D26" s="48"/>
      <c r="E26" s="36" t="s">
        <v>100</v>
      </c>
      <c r="F26" s="48"/>
      <c r="G26" s="48"/>
      <c r="H26" s="7" t="e">
        <f t="shared" si="2"/>
        <v>#DIV/0!</v>
      </c>
      <c r="I26" s="31" t="e">
        <f t="shared" si="3"/>
        <v>#DIV/0!</v>
      </c>
    </row>
    <row r="27" spans="2:9" ht="24" x14ac:dyDescent="0.25">
      <c r="B27" s="39" t="s">
        <v>101</v>
      </c>
      <c r="C27" s="40" t="s">
        <v>122</v>
      </c>
      <c r="D27" s="30"/>
      <c r="E27" s="36" t="s">
        <v>97</v>
      </c>
      <c r="F27" s="48"/>
      <c r="G27" s="48"/>
      <c r="H27" s="7" t="e">
        <f t="shared" si="2"/>
        <v>#DIV/0!</v>
      </c>
      <c r="I27" s="31" t="e">
        <f t="shared" si="3"/>
        <v>#DIV/0!</v>
      </c>
    </row>
    <row r="28" spans="2:9" ht="48" x14ac:dyDescent="0.25">
      <c r="B28" s="39" t="s">
        <v>102</v>
      </c>
      <c r="C28" s="40" t="s">
        <v>125</v>
      </c>
      <c r="D28" s="30"/>
      <c r="E28" s="35" t="s">
        <v>115</v>
      </c>
      <c r="F28" s="48"/>
      <c r="G28" s="48"/>
      <c r="H28" s="7" t="e">
        <f t="shared" si="2"/>
        <v>#DIV/0!</v>
      </c>
      <c r="I28" s="31" t="e">
        <f t="shared" si="3"/>
        <v>#DIV/0!</v>
      </c>
    </row>
    <row r="29" spans="2:9" ht="36" x14ac:dyDescent="0.25">
      <c r="B29" s="39" t="s">
        <v>103</v>
      </c>
      <c r="C29" s="40" t="s">
        <v>126</v>
      </c>
      <c r="D29" s="52"/>
      <c r="E29" s="36" t="s">
        <v>104</v>
      </c>
      <c r="F29" s="48"/>
      <c r="G29" s="48"/>
      <c r="H29" s="7" t="e">
        <f t="shared" si="2"/>
        <v>#DIV/0!</v>
      </c>
      <c r="I29" s="31" t="e">
        <f t="shared" si="3"/>
        <v>#DIV/0!</v>
      </c>
    </row>
    <row r="30" spans="2:9" ht="36" x14ac:dyDescent="0.25">
      <c r="B30" s="39" t="s">
        <v>105</v>
      </c>
      <c r="C30" s="40" t="s">
        <v>126</v>
      </c>
      <c r="D30" s="52"/>
      <c r="E30" s="36" t="s">
        <v>150</v>
      </c>
      <c r="F30" s="48"/>
      <c r="G30" s="48"/>
      <c r="H30" s="7" t="e">
        <f t="shared" si="2"/>
        <v>#DIV/0!</v>
      </c>
      <c r="I30" s="31" t="e">
        <f t="shared" si="3"/>
        <v>#DIV/0!</v>
      </c>
    </row>
    <row r="31" spans="2:9" ht="48" x14ac:dyDescent="0.25">
      <c r="B31" s="39" t="s">
        <v>107</v>
      </c>
      <c r="C31" s="40" t="s">
        <v>126</v>
      </c>
      <c r="D31" s="52"/>
      <c r="E31" s="36" t="s">
        <v>150</v>
      </c>
      <c r="F31" s="48"/>
      <c r="G31" s="48"/>
      <c r="H31" s="7" t="e">
        <f t="shared" si="2"/>
        <v>#DIV/0!</v>
      </c>
      <c r="I31" s="31" t="e">
        <f t="shared" si="3"/>
        <v>#DIV/0!</v>
      </c>
    </row>
    <row r="32" spans="2:9" ht="48" x14ac:dyDescent="0.25">
      <c r="B32" s="39" t="s">
        <v>108</v>
      </c>
      <c r="C32" s="40" t="s">
        <v>126</v>
      </c>
      <c r="D32" s="30"/>
      <c r="E32" s="36" t="s">
        <v>106</v>
      </c>
      <c r="F32" s="48"/>
      <c r="G32" s="48"/>
      <c r="H32" s="7" t="e">
        <f t="shared" si="2"/>
        <v>#DIV/0!</v>
      </c>
      <c r="I32" s="31" t="e">
        <f t="shared" si="3"/>
        <v>#DIV/0!</v>
      </c>
    </row>
    <row r="33" spans="2:9" ht="24" x14ac:dyDescent="0.25">
      <c r="B33" s="39" t="s">
        <v>109</v>
      </c>
      <c r="C33" s="40" t="s">
        <v>126</v>
      </c>
      <c r="D33" s="30"/>
      <c r="E33" s="36" t="s">
        <v>110</v>
      </c>
      <c r="F33" s="48"/>
      <c r="G33" s="48"/>
      <c r="H33" s="7" t="e">
        <f t="shared" si="2"/>
        <v>#DIV/0!</v>
      </c>
      <c r="I33" s="31" t="e">
        <f t="shared" si="3"/>
        <v>#DIV/0!</v>
      </c>
    </row>
    <row r="34" spans="2:9" ht="24" x14ac:dyDescent="0.25">
      <c r="B34" s="39" t="s">
        <v>111</v>
      </c>
      <c r="C34" s="40" t="s">
        <v>124</v>
      </c>
      <c r="D34" s="30"/>
      <c r="E34" s="36" t="s">
        <v>112</v>
      </c>
      <c r="F34" s="48"/>
      <c r="G34" s="48"/>
      <c r="H34" s="7" t="e">
        <f t="shared" si="2"/>
        <v>#DIV/0!</v>
      </c>
      <c r="I34" s="31" t="e">
        <f t="shared" si="3"/>
        <v>#DIV/0!</v>
      </c>
    </row>
    <row r="35" spans="2:9" x14ac:dyDescent="0.25">
      <c r="B35" s="39" t="s">
        <v>113</v>
      </c>
      <c r="C35" s="40" t="s">
        <v>122</v>
      </c>
      <c r="D35" s="48"/>
      <c r="E35" s="36" t="s">
        <v>114</v>
      </c>
      <c r="F35" s="48"/>
      <c r="G35" s="48"/>
      <c r="H35" s="7" t="e">
        <f t="shared" si="2"/>
        <v>#DIV/0!</v>
      </c>
      <c r="I35" s="31" t="e">
        <f t="shared" si="3"/>
        <v>#DIV/0!</v>
      </c>
    </row>
    <row r="36" spans="2:9" ht="9.9499999999999993" customHeight="1" x14ac:dyDescent="0.25">
      <c r="B36" s="56"/>
      <c r="C36" s="56"/>
      <c r="D36" s="56"/>
      <c r="E36" s="56"/>
      <c r="F36" s="56"/>
      <c r="G36" s="56"/>
      <c r="I36" s="27"/>
    </row>
    <row r="37" spans="2:9" ht="39.950000000000003" customHeight="1" x14ac:dyDescent="0.25">
      <c r="B37" s="87" t="s">
        <v>10</v>
      </c>
      <c r="C37" s="87"/>
      <c r="D37" s="91" t="s">
        <v>116</v>
      </c>
      <c r="E37" s="91"/>
      <c r="F37" s="91"/>
      <c r="G37" s="91"/>
      <c r="I37" s="27"/>
    </row>
    <row r="38" spans="2:9" ht="9.9499999999999993" customHeight="1" x14ac:dyDescent="0.25">
      <c r="B38" s="56"/>
      <c r="C38" s="56"/>
      <c r="D38" s="56"/>
      <c r="E38" s="56"/>
      <c r="F38" s="56"/>
      <c r="G38" s="56"/>
      <c r="I38" s="27"/>
    </row>
    <row r="39" spans="2:9" ht="30" customHeight="1" x14ac:dyDescent="0.25">
      <c r="B39" s="87" t="s">
        <v>64</v>
      </c>
      <c r="C39" s="87"/>
      <c r="D39" s="65" t="s">
        <v>117</v>
      </c>
      <c r="E39" s="65"/>
      <c r="F39" s="65"/>
      <c r="G39" s="65"/>
      <c r="I39" s="27"/>
    </row>
    <row r="40" spans="2:9" ht="9.9499999999999993" customHeight="1" x14ac:dyDescent="0.25">
      <c r="B40" s="56"/>
      <c r="C40" s="56"/>
      <c r="D40" s="56"/>
      <c r="E40" s="56"/>
      <c r="F40" s="56"/>
      <c r="G40" s="56"/>
      <c r="I40" s="27"/>
    </row>
    <row r="41" spans="2:9" ht="42.95" customHeight="1" x14ac:dyDescent="0.25">
      <c r="B41" s="46" t="s">
        <v>0</v>
      </c>
      <c r="C41" s="46" t="s">
        <v>3</v>
      </c>
      <c r="D41" s="46" t="s">
        <v>4</v>
      </c>
      <c r="E41" s="46" t="s">
        <v>5</v>
      </c>
      <c r="F41" s="46" t="s">
        <v>6</v>
      </c>
      <c r="G41" s="46" t="s">
        <v>7</v>
      </c>
      <c r="H41" s="46" t="s">
        <v>8</v>
      </c>
      <c r="I41" s="51" t="s">
        <v>149</v>
      </c>
    </row>
    <row r="42" spans="2:9" s="41" customFormat="1" ht="36.75" thickBot="1" x14ac:dyDescent="0.3">
      <c r="B42" s="40" t="s">
        <v>118</v>
      </c>
      <c r="C42" s="40" t="s">
        <v>127</v>
      </c>
      <c r="D42" s="30"/>
      <c r="E42" s="32"/>
      <c r="F42" s="48"/>
      <c r="G42" s="48"/>
      <c r="H42" s="7" t="e">
        <f>G42/F42*100</f>
        <v>#DIV/0!</v>
      </c>
      <c r="I42" s="31" t="e">
        <f>IF(H42&gt;=50,"CONSIDERAR","NO")</f>
        <v>#DIV/0!</v>
      </c>
    </row>
    <row r="43" spans="2:9" s="41" customFormat="1" ht="24.75" thickBot="1" x14ac:dyDescent="0.3">
      <c r="B43" s="40" t="s">
        <v>151</v>
      </c>
      <c r="C43" s="40" t="s">
        <v>127</v>
      </c>
      <c r="D43" s="30"/>
      <c r="E43" s="32"/>
      <c r="F43" s="48"/>
      <c r="G43" s="48"/>
      <c r="H43" s="7" t="e">
        <f>G43/F43*100</f>
        <v>#DIV/0!</v>
      </c>
      <c r="I43" s="31" t="e">
        <f>IF(H43&gt;=50,"CONSIDERAR","NO")</f>
        <v>#DIV/0!</v>
      </c>
    </row>
    <row r="44" spans="2:9" ht="9.9499999999999993" customHeight="1" x14ac:dyDescent="0.25">
      <c r="B44" s="57"/>
      <c r="C44" s="57"/>
      <c r="D44" s="57"/>
      <c r="E44" s="57"/>
      <c r="F44" s="57"/>
      <c r="G44" s="57"/>
      <c r="I44" s="27"/>
    </row>
    <row r="45" spans="2:9" ht="30" customHeight="1" x14ac:dyDescent="0.25">
      <c r="B45" s="83" t="s">
        <v>87</v>
      </c>
      <c r="C45" s="84"/>
      <c r="D45" s="85" t="s">
        <v>138</v>
      </c>
      <c r="E45" s="86"/>
      <c r="F45" s="86"/>
      <c r="G45" s="86"/>
      <c r="I45" s="27"/>
    </row>
    <row r="46" spans="2:9" ht="9.9499999999999993" customHeight="1" x14ac:dyDescent="0.25">
      <c r="B46" s="89"/>
      <c r="C46" s="89"/>
      <c r="D46" s="89"/>
      <c r="E46" s="89"/>
      <c r="F46" s="89"/>
      <c r="G46" s="89"/>
      <c r="I46" s="27"/>
    </row>
    <row r="47" spans="2:9" ht="42.95" customHeight="1" x14ac:dyDescent="0.25">
      <c r="B47" s="46" t="s">
        <v>0</v>
      </c>
      <c r="C47" s="46" t="s">
        <v>3</v>
      </c>
      <c r="D47" s="46" t="s">
        <v>4</v>
      </c>
      <c r="E47" s="46" t="s">
        <v>5</v>
      </c>
      <c r="F47" s="46" t="s">
        <v>6</v>
      </c>
      <c r="G47" s="46" t="s">
        <v>7</v>
      </c>
      <c r="H47" s="46" t="s">
        <v>8</v>
      </c>
      <c r="I47" s="51" t="s">
        <v>149</v>
      </c>
    </row>
    <row r="48" spans="2:9" s="41" customFormat="1" ht="36.75" thickBot="1" x14ac:dyDescent="0.3">
      <c r="B48" s="39" t="s">
        <v>119</v>
      </c>
      <c r="C48" s="40" t="s">
        <v>128</v>
      </c>
      <c r="D48" s="30"/>
      <c r="E48" s="33"/>
      <c r="F48" s="48"/>
      <c r="G48" s="48"/>
      <c r="H48" s="7" t="e">
        <f>G48/F48*100</f>
        <v>#DIV/0!</v>
      </c>
      <c r="I48" s="31" t="e">
        <f>IF(H48&gt;=50,"CONSIDERAR","NO")</f>
        <v>#DIV/0!</v>
      </c>
    </row>
    <row r="49" spans="2:9" ht="9.9499999999999993" customHeight="1" x14ac:dyDescent="0.25">
      <c r="I49" s="27"/>
    </row>
    <row r="50" spans="2:9" ht="30" customHeight="1" x14ac:dyDescent="0.25">
      <c r="B50" s="90" t="s">
        <v>11</v>
      </c>
      <c r="C50" s="90"/>
      <c r="D50" s="91" t="s">
        <v>120</v>
      </c>
      <c r="E50" s="91"/>
      <c r="F50" s="91"/>
      <c r="G50" s="91"/>
      <c r="I50" s="27"/>
    </row>
    <row r="51" spans="2:9" ht="9.9499999999999993" customHeight="1" x14ac:dyDescent="0.25">
      <c r="B51" s="56"/>
      <c r="C51" s="56"/>
      <c r="D51" s="56"/>
      <c r="E51" s="56"/>
      <c r="F51" s="56"/>
      <c r="G51" s="56"/>
      <c r="I51" s="27"/>
    </row>
    <row r="52" spans="2:9" ht="30" customHeight="1" x14ac:dyDescent="0.25">
      <c r="B52" s="90" t="s">
        <v>88</v>
      </c>
      <c r="C52" s="90"/>
      <c r="D52" s="88" t="s">
        <v>146</v>
      </c>
      <c r="E52" s="88"/>
      <c r="F52" s="88"/>
      <c r="G52" s="88"/>
      <c r="I52" s="27"/>
    </row>
    <row r="53" spans="2:9" ht="9.9499999999999993" customHeight="1" x14ac:dyDescent="0.25">
      <c r="B53" s="56"/>
      <c r="C53" s="56"/>
      <c r="D53" s="56"/>
      <c r="E53" s="56"/>
      <c r="F53" s="56"/>
      <c r="G53" s="56"/>
      <c r="I53" s="27"/>
    </row>
    <row r="54" spans="2:9" ht="42.95" customHeight="1" x14ac:dyDescent="0.25">
      <c r="B54" s="46" t="s">
        <v>0</v>
      </c>
      <c r="C54" s="46" t="s">
        <v>3</v>
      </c>
      <c r="D54" s="46" t="s">
        <v>4</v>
      </c>
      <c r="E54" s="46" t="s">
        <v>5</v>
      </c>
      <c r="F54" s="46" t="s">
        <v>6</v>
      </c>
      <c r="G54" s="46" t="s">
        <v>7</v>
      </c>
      <c r="H54" s="46" t="s">
        <v>8</v>
      </c>
      <c r="I54" s="51" t="s">
        <v>149</v>
      </c>
    </row>
    <row r="55" spans="2:9" s="49" customFormat="1" ht="43.15" customHeight="1" x14ac:dyDescent="0.25">
      <c r="B55" s="40" t="s">
        <v>147</v>
      </c>
      <c r="C55" s="40" t="s">
        <v>148</v>
      </c>
      <c r="D55" s="50"/>
      <c r="E55" s="40"/>
      <c r="F55" s="30"/>
      <c r="G55" s="30"/>
      <c r="H55" s="7" t="e">
        <f>G55/F55*100</f>
        <v>#DIV/0!</v>
      </c>
      <c r="I55" s="31" t="e">
        <f>IF(H55&gt;=50,"CONSIDERAR","NO")</f>
        <v>#DIV/0!</v>
      </c>
    </row>
    <row r="56" spans="2:9" ht="9.9499999999999993" customHeight="1" x14ac:dyDescent="0.25">
      <c r="B56" s="56"/>
      <c r="C56" s="56"/>
      <c r="D56" s="56"/>
      <c r="E56" s="56"/>
      <c r="F56" s="56"/>
      <c r="G56" s="56"/>
      <c r="I56" s="27"/>
    </row>
    <row r="57" spans="2:9" ht="30" customHeight="1" x14ac:dyDescent="0.25">
      <c r="B57" s="90" t="s">
        <v>89</v>
      </c>
      <c r="C57" s="90"/>
      <c r="D57" s="65" t="s">
        <v>139</v>
      </c>
      <c r="E57" s="65"/>
      <c r="F57" s="65"/>
      <c r="G57" s="65"/>
      <c r="I57" s="27"/>
    </row>
    <row r="58" spans="2:9" ht="9.9499999999999993" customHeight="1" x14ac:dyDescent="0.25">
      <c r="B58" s="56"/>
      <c r="C58" s="56"/>
      <c r="D58" s="56"/>
      <c r="E58" s="56"/>
      <c r="F58" s="56"/>
      <c r="G58" s="56"/>
      <c r="I58" s="27"/>
    </row>
    <row r="59" spans="2:9" ht="42.95" customHeight="1" x14ac:dyDescent="0.25">
      <c r="B59" s="37" t="s">
        <v>0</v>
      </c>
      <c r="C59" s="37" t="s">
        <v>3</v>
      </c>
      <c r="D59" s="37" t="s">
        <v>4</v>
      </c>
      <c r="E59" s="37" t="s">
        <v>5</v>
      </c>
      <c r="F59" s="37" t="s">
        <v>6</v>
      </c>
      <c r="G59" s="37" t="s">
        <v>7</v>
      </c>
      <c r="H59" s="37" t="s">
        <v>8</v>
      </c>
      <c r="I59" s="51" t="s">
        <v>149</v>
      </c>
    </row>
    <row r="60" spans="2:9" ht="24" x14ac:dyDescent="0.25">
      <c r="B60" s="40" t="s">
        <v>140</v>
      </c>
      <c r="C60" s="40" t="s">
        <v>141</v>
      </c>
      <c r="D60" s="50"/>
      <c r="E60" s="40"/>
      <c r="F60" s="48"/>
      <c r="G60" s="48"/>
      <c r="H60" s="7" t="e">
        <f>G60/F60*100</f>
        <v>#DIV/0!</v>
      </c>
      <c r="I60" s="31" t="e">
        <f>IF(H60&gt;=50,"CONSIDERAR","NO")</f>
        <v>#DIV/0!</v>
      </c>
    </row>
    <row r="61" spans="2:9" ht="9.9499999999999993" customHeight="1" x14ac:dyDescent="0.25">
      <c r="B61" s="57"/>
      <c r="C61" s="57"/>
      <c r="D61" s="57"/>
      <c r="E61" s="57"/>
      <c r="F61" s="57"/>
      <c r="G61" s="57"/>
      <c r="I61" s="27"/>
    </row>
    <row r="62" spans="2:9" ht="39.950000000000003" customHeight="1" x14ac:dyDescent="0.25">
      <c r="B62" s="92" t="s">
        <v>13</v>
      </c>
      <c r="C62" s="92"/>
      <c r="D62" s="88" t="s">
        <v>142</v>
      </c>
      <c r="E62" s="88"/>
      <c r="F62" s="88"/>
      <c r="G62" s="88"/>
      <c r="I62" s="27"/>
    </row>
    <row r="63" spans="2:9" ht="9.9499999999999993" customHeight="1" x14ac:dyDescent="0.25">
      <c r="B63" s="56"/>
      <c r="C63" s="56"/>
      <c r="D63" s="56"/>
      <c r="E63" s="56"/>
      <c r="F63" s="56"/>
      <c r="G63" s="56"/>
      <c r="I63" s="27"/>
    </row>
    <row r="64" spans="2:9" ht="30" customHeight="1" x14ac:dyDescent="0.25">
      <c r="B64" s="92" t="s">
        <v>90</v>
      </c>
      <c r="C64" s="92"/>
      <c r="D64" s="65" t="s">
        <v>143</v>
      </c>
      <c r="E64" s="65"/>
      <c r="F64" s="65"/>
      <c r="G64" s="65"/>
      <c r="I64" s="27"/>
    </row>
    <row r="65" spans="2:9" ht="9.9499999999999993" customHeight="1" x14ac:dyDescent="0.25">
      <c r="B65" s="56"/>
      <c r="C65" s="56"/>
      <c r="D65" s="56"/>
      <c r="E65" s="56"/>
      <c r="F65" s="56"/>
      <c r="G65" s="56"/>
      <c r="I65" s="27"/>
    </row>
    <row r="66" spans="2:9" ht="39.950000000000003" customHeight="1" x14ac:dyDescent="0.25">
      <c r="B66" s="46" t="s">
        <v>0</v>
      </c>
      <c r="C66" s="46" t="s">
        <v>3</v>
      </c>
      <c r="D66" s="46" t="s">
        <v>4</v>
      </c>
      <c r="E66" s="46" t="s">
        <v>5</v>
      </c>
      <c r="F66" s="46" t="s">
        <v>6</v>
      </c>
      <c r="G66" s="46" t="s">
        <v>7</v>
      </c>
      <c r="H66" s="46" t="s">
        <v>8</v>
      </c>
      <c r="I66" s="51" t="s">
        <v>149</v>
      </c>
    </row>
    <row r="67" spans="2:9" ht="72.75" thickBot="1" x14ac:dyDescent="0.3">
      <c r="B67" s="40" t="s">
        <v>121</v>
      </c>
      <c r="C67" s="40" t="s">
        <v>129</v>
      </c>
      <c r="D67" s="30"/>
      <c r="E67" s="34"/>
      <c r="F67" s="48"/>
      <c r="G67" s="48"/>
      <c r="H67" s="7" t="e">
        <f>G67/F67*100</f>
        <v>#DIV/0!</v>
      </c>
      <c r="I67" s="31" t="e">
        <f>IF(H67&gt;=50,"CONSIDERAR","NO")</f>
        <v>#DIV/0!</v>
      </c>
    </row>
    <row r="68" spans="2:9" ht="30" customHeight="1" x14ac:dyDescent="0.25"/>
    <row r="69" spans="2:9" ht="30" customHeight="1" x14ac:dyDescent="0.25"/>
    <row r="70" spans="2:9" ht="30" customHeight="1" x14ac:dyDescent="0.25"/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</sheetData>
  <mergeCells count="57">
    <mergeCell ref="B7:G7"/>
    <mergeCell ref="B1:G1"/>
    <mergeCell ref="B2:G2"/>
    <mergeCell ref="O2:P2"/>
    <mergeCell ref="B3:G3"/>
    <mergeCell ref="B4:C4"/>
    <mergeCell ref="D4:G4"/>
    <mergeCell ref="P4:Q4"/>
    <mergeCell ref="B5:G5"/>
    <mergeCell ref="B6:C6"/>
    <mergeCell ref="D6:G6"/>
    <mergeCell ref="K6:M6"/>
    <mergeCell ref="P6:Q6"/>
    <mergeCell ref="B19:G19"/>
    <mergeCell ref="O8:Q8"/>
    <mergeCell ref="O9:Q9"/>
    <mergeCell ref="O10:Q10"/>
    <mergeCell ref="B12:G12"/>
    <mergeCell ref="B13:C13"/>
    <mergeCell ref="D13:G13"/>
    <mergeCell ref="P13:V13"/>
    <mergeCell ref="B14:G14"/>
    <mergeCell ref="P15:R15"/>
    <mergeCell ref="B17:G17"/>
    <mergeCell ref="B18:C18"/>
    <mergeCell ref="D18:G18"/>
    <mergeCell ref="B45:C45"/>
    <mergeCell ref="D45:G45"/>
    <mergeCell ref="B20:C20"/>
    <mergeCell ref="D20:G20"/>
    <mergeCell ref="B21:G21"/>
    <mergeCell ref="B36:G36"/>
    <mergeCell ref="B37:C37"/>
    <mergeCell ref="D37:G37"/>
    <mergeCell ref="B38:G38"/>
    <mergeCell ref="B39:C39"/>
    <mergeCell ref="D39:G39"/>
    <mergeCell ref="B40:G40"/>
    <mergeCell ref="B44:G44"/>
    <mergeCell ref="B46:G46"/>
    <mergeCell ref="B50:C50"/>
    <mergeCell ref="D50:G50"/>
    <mergeCell ref="B51:G51"/>
    <mergeCell ref="B52:C52"/>
    <mergeCell ref="D52:G52"/>
    <mergeCell ref="B65:G65"/>
    <mergeCell ref="B53:G53"/>
    <mergeCell ref="B56:G56"/>
    <mergeCell ref="B57:C57"/>
    <mergeCell ref="D57:G57"/>
    <mergeCell ref="B58:G58"/>
    <mergeCell ref="B61:G61"/>
    <mergeCell ref="B62:C62"/>
    <mergeCell ref="D62:G62"/>
    <mergeCell ref="B63:G63"/>
    <mergeCell ref="B64:C64"/>
    <mergeCell ref="D64:G64"/>
  </mergeCells>
  <conditionalFormatting sqref="H9:H11">
    <cfRule type="cellIs" dxfId="53" priority="22" operator="lessThan">
      <formula>75</formula>
    </cfRule>
    <cfRule type="cellIs" dxfId="52" priority="23" operator="between">
      <formula>75</formula>
      <formula>94</formula>
    </cfRule>
    <cfRule type="cellIs" dxfId="51" priority="24" operator="greaterThanOrEqual">
      <formula>95</formula>
    </cfRule>
  </conditionalFormatting>
  <conditionalFormatting sqref="H16">
    <cfRule type="cellIs" dxfId="50" priority="19" operator="lessThan">
      <formula>75</formula>
    </cfRule>
    <cfRule type="cellIs" dxfId="49" priority="20" operator="between">
      <formula>75</formula>
      <formula>94</formula>
    </cfRule>
    <cfRule type="cellIs" dxfId="48" priority="21" operator="greaterThanOrEqual">
      <formula>95</formula>
    </cfRule>
  </conditionalFormatting>
  <conditionalFormatting sqref="H23:H35">
    <cfRule type="cellIs" dxfId="47" priority="16" operator="lessThan">
      <formula>75</formula>
    </cfRule>
    <cfRule type="cellIs" dxfId="46" priority="17" operator="between">
      <formula>75</formula>
      <formula>94</formula>
    </cfRule>
    <cfRule type="cellIs" dxfId="45" priority="18" operator="greaterThanOrEqual">
      <formula>95</formula>
    </cfRule>
  </conditionalFormatting>
  <conditionalFormatting sqref="H42:H43">
    <cfRule type="cellIs" dxfId="44" priority="13" operator="lessThan">
      <formula>75</formula>
    </cfRule>
    <cfRule type="cellIs" dxfId="43" priority="14" operator="between">
      <formula>75</formula>
      <formula>94</formula>
    </cfRule>
    <cfRule type="cellIs" dxfId="42" priority="15" operator="greaterThanOrEqual">
      <formula>95</formula>
    </cfRule>
  </conditionalFormatting>
  <conditionalFormatting sqref="H48">
    <cfRule type="cellIs" dxfId="41" priority="10" operator="lessThan">
      <formula>75</formula>
    </cfRule>
    <cfRule type="cellIs" dxfId="40" priority="11" operator="between">
      <formula>75</formula>
      <formula>94</formula>
    </cfRule>
    <cfRule type="cellIs" dxfId="39" priority="12" operator="greaterThanOrEqual">
      <formula>95</formula>
    </cfRule>
  </conditionalFormatting>
  <conditionalFormatting sqref="H55">
    <cfRule type="cellIs" dxfId="38" priority="7" operator="lessThan">
      <formula>75</formula>
    </cfRule>
    <cfRule type="cellIs" dxfId="37" priority="8" operator="between">
      <formula>75</formula>
      <formula>94</formula>
    </cfRule>
    <cfRule type="cellIs" dxfId="36" priority="9" operator="greaterThanOrEqual">
      <formula>95</formula>
    </cfRule>
  </conditionalFormatting>
  <conditionalFormatting sqref="H60">
    <cfRule type="cellIs" dxfId="35" priority="4" operator="lessThan">
      <formula>75</formula>
    </cfRule>
    <cfRule type="cellIs" dxfId="34" priority="5" operator="between">
      <formula>75</formula>
      <formula>94</formula>
    </cfRule>
    <cfRule type="cellIs" dxfId="33" priority="6" operator="greaterThanOrEqual">
      <formula>95</formula>
    </cfRule>
  </conditionalFormatting>
  <conditionalFormatting sqref="H67">
    <cfRule type="cellIs" dxfId="32" priority="1" operator="lessThan">
      <formula>75</formula>
    </cfRule>
    <cfRule type="cellIs" dxfId="31" priority="2" operator="between">
      <formula>75</formula>
      <formula>94</formula>
    </cfRule>
    <cfRule type="cellIs" dxfId="30" priority="3" operator="greaterThanOrEqual">
      <formula>95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M608"/>
  <sheetViews>
    <sheetView topLeftCell="A70" zoomScaleNormal="100" workbookViewId="0">
      <selection activeCell="B83" sqref="B83"/>
    </sheetView>
  </sheetViews>
  <sheetFormatPr baseColWidth="10" defaultRowHeight="15" x14ac:dyDescent="0.25"/>
  <cols>
    <col min="1" max="1" width="10.7109375" customWidth="1"/>
    <col min="2" max="2" width="35.7109375" customWidth="1"/>
    <col min="3" max="3" width="25.7109375" customWidth="1"/>
    <col min="4" max="7" width="15.7109375" customWidth="1"/>
    <col min="8" max="8" width="0" hidden="1" customWidth="1"/>
    <col min="9" max="9" width="16.85546875" style="14" hidden="1" customWidth="1"/>
    <col min="10" max="12" width="11.42578125" style="14"/>
    <col min="13" max="13" width="16.7109375" style="14" customWidth="1"/>
  </cols>
  <sheetData>
    <row r="1" spans="2:13" ht="9.9499999999999993" hidden="1" customHeight="1" x14ac:dyDescent="0.25">
      <c r="B1" s="8"/>
      <c r="C1" s="8"/>
      <c r="D1" s="8"/>
      <c r="E1" s="8"/>
      <c r="F1" s="8"/>
      <c r="G1" s="8"/>
    </row>
    <row r="2" spans="2:13" ht="39.950000000000003" hidden="1" customHeight="1" x14ac:dyDescent="0.25">
      <c r="B2" s="94" t="s">
        <v>15</v>
      </c>
      <c r="C2" s="95"/>
      <c r="D2" s="95"/>
      <c r="E2" s="95"/>
      <c r="F2" s="95"/>
      <c r="G2" s="95"/>
    </row>
    <row r="3" spans="2:13" ht="9.9499999999999993" hidden="1" customHeight="1" x14ac:dyDescent="0.25">
      <c r="B3" s="96"/>
      <c r="C3" s="96"/>
      <c r="D3" s="96"/>
      <c r="E3" s="96"/>
      <c r="F3" s="96"/>
      <c r="G3" s="96"/>
    </row>
    <row r="4" spans="2:13" s="2" customFormat="1" ht="39.950000000000003" hidden="1" customHeight="1" x14ac:dyDescent="0.25">
      <c r="B4" s="95" t="s">
        <v>2</v>
      </c>
      <c r="C4" s="95"/>
      <c r="D4" s="97"/>
      <c r="E4" s="98"/>
      <c r="F4" s="98"/>
      <c r="G4" s="99"/>
      <c r="I4" s="14"/>
      <c r="J4" s="14"/>
      <c r="K4" s="14"/>
      <c r="L4" s="14"/>
      <c r="M4" s="14"/>
    </row>
    <row r="5" spans="2:13" ht="9.9499999999999993" hidden="1" customHeight="1" x14ac:dyDescent="0.25">
      <c r="B5" s="96"/>
      <c r="C5" s="96"/>
      <c r="D5" s="96"/>
      <c r="E5" s="96"/>
      <c r="F5" s="96"/>
      <c r="G5" s="96"/>
    </row>
    <row r="6" spans="2:13" s="2" customFormat="1" ht="30" hidden="1" customHeight="1" x14ac:dyDescent="0.25">
      <c r="B6" s="95" t="s">
        <v>59</v>
      </c>
      <c r="C6" s="95"/>
      <c r="D6" s="101"/>
      <c r="E6" s="102"/>
      <c r="F6" s="102"/>
      <c r="G6" s="103"/>
      <c r="I6" s="14"/>
      <c r="J6" s="14"/>
      <c r="K6" s="66" t="s">
        <v>74</v>
      </c>
      <c r="L6" s="67"/>
      <c r="M6" s="68"/>
    </row>
    <row r="7" spans="2:13" ht="9.9499999999999993" hidden="1" customHeight="1" x14ac:dyDescent="0.25">
      <c r="B7" s="96"/>
      <c r="C7" s="96"/>
      <c r="D7" s="96"/>
      <c r="E7" s="96"/>
      <c r="F7" s="96"/>
      <c r="G7" s="96"/>
    </row>
    <row r="8" spans="2:13" s="1" customFormat="1" ht="45" hidden="1" x14ac:dyDescent="0.25">
      <c r="B8" s="5" t="s">
        <v>0</v>
      </c>
      <c r="C8" s="5" t="s">
        <v>3</v>
      </c>
      <c r="D8" s="5" t="s">
        <v>5</v>
      </c>
      <c r="E8" s="5" t="s">
        <v>6</v>
      </c>
      <c r="F8" s="5" t="s">
        <v>7</v>
      </c>
      <c r="G8" s="5" t="s">
        <v>14</v>
      </c>
      <c r="I8" s="5" t="s">
        <v>76</v>
      </c>
      <c r="J8" s="22"/>
      <c r="K8" s="15" t="s">
        <v>69</v>
      </c>
      <c r="L8" s="15" t="s">
        <v>70</v>
      </c>
      <c r="M8" s="15" t="s">
        <v>71</v>
      </c>
    </row>
    <row r="9" spans="2:13" ht="30" hidden="1" customHeight="1" x14ac:dyDescent="0.25">
      <c r="B9" s="12" t="e">
        <f>#REF!</f>
        <v>#REF!</v>
      </c>
      <c r="C9" s="12" t="e">
        <f>#REF!</f>
        <v>#REF!</v>
      </c>
      <c r="D9" s="12" t="e">
        <f>#REF!</f>
        <v>#REF!</v>
      </c>
      <c r="E9" s="13" t="e">
        <f>#REF!+#REF!+#REF!+#REF!</f>
        <v>#REF!</v>
      </c>
      <c r="F9" s="13" t="e">
        <f>#REF!+#REF!+#REF!+#REF!</f>
        <v>#REF!</v>
      </c>
      <c r="G9" s="10" t="e">
        <f>F9/E9*100</f>
        <v>#REF!</v>
      </c>
      <c r="I9" s="27" t="e">
        <f>IF(G9&gt;=75,"CONSIDERAR","NO")</f>
        <v>#REF!</v>
      </c>
      <c r="K9" s="13">
        <f>COUNT(E9:E12)+COUNT(E17:E18)+COUNT(E23)+COUNT(E30:E31)+COUNT(E36)+COUNT(E43:E44)+COUNT(E51:E52)+COUNT(E57:E58)+COUNT(E65:E68)</f>
        <v>0</v>
      </c>
      <c r="L9" s="13">
        <f>COUNTIF(I9:I68,"CONSIDERAR")</f>
        <v>0</v>
      </c>
      <c r="M9" s="17"/>
    </row>
    <row r="10" spans="2:13" ht="30" hidden="1" customHeight="1" x14ac:dyDescent="0.25">
      <c r="B10" s="11" t="e">
        <f>#REF!</f>
        <v>#REF!</v>
      </c>
      <c r="C10" s="12" t="e">
        <f>#REF!</f>
        <v>#REF!</v>
      </c>
      <c r="D10" s="12" t="e">
        <f>#REF!</f>
        <v>#REF!</v>
      </c>
      <c r="E10" s="13" t="e">
        <f>#REF!+#REF!+#REF!+#REF!</f>
        <v>#REF!</v>
      </c>
      <c r="F10" s="13" t="e">
        <f>#REF!+#REF!+#REF!+#REF!</f>
        <v>#REF!</v>
      </c>
      <c r="G10" s="10" t="e">
        <f t="shared" ref="G10:G12" si="0">F10/E10*100</f>
        <v>#REF!</v>
      </c>
      <c r="I10" s="27" t="e">
        <f t="shared" ref="I10:I12" si="1">IF(G10&gt;=75,"CONSIDERAR","NO")</f>
        <v>#REF!</v>
      </c>
    </row>
    <row r="11" spans="2:13" ht="30" hidden="1" customHeight="1" x14ac:dyDescent="0.25">
      <c r="B11" s="11" t="e">
        <f>#REF!</f>
        <v>#REF!</v>
      </c>
      <c r="C11" s="11" t="e">
        <f>#REF!</f>
        <v>#REF!</v>
      </c>
      <c r="D11" s="12" t="e">
        <f>#REF!</f>
        <v>#REF!</v>
      </c>
      <c r="E11" s="13" t="e">
        <f>#REF!+#REF!+#REF!+#REF!</f>
        <v>#REF!</v>
      </c>
      <c r="F11" s="13" t="e">
        <f>#REF!+#REF!+#REF!+#REF!</f>
        <v>#REF!</v>
      </c>
      <c r="G11" s="10" t="e">
        <f t="shared" si="0"/>
        <v>#REF!</v>
      </c>
      <c r="I11" s="27" t="e">
        <f t="shared" si="1"/>
        <v>#REF!</v>
      </c>
    </row>
    <row r="12" spans="2:13" ht="39.950000000000003" hidden="1" customHeight="1" x14ac:dyDescent="0.25">
      <c r="B12" s="11" t="e">
        <f>#REF!</f>
        <v>#REF!</v>
      </c>
      <c r="C12" s="12" t="e">
        <f>#REF!</f>
        <v>#REF!</v>
      </c>
      <c r="D12" s="12" t="e">
        <f>#REF!</f>
        <v>#REF!</v>
      </c>
      <c r="E12" s="13" t="e">
        <f>#REF!+#REF!+#REF!+#REF!</f>
        <v>#REF!</v>
      </c>
      <c r="F12" s="13" t="e">
        <f>#REF!+#REF!+#REF!+#REF!</f>
        <v>#REF!</v>
      </c>
      <c r="G12" s="10" t="e">
        <f t="shared" si="0"/>
        <v>#REF!</v>
      </c>
      <c r="I12" s="27" t="e">
        <f t="shared" si="1"/>
        <v>#REF!</v>
      </c>
    </row>
    <row r="13" spans="2:13" ht="9.9499999999999993" hidden="1" customHeight="1" x14ac:dyDescent="0.25">
      <c r="B13" s="104"/>
      <c r="C13" s="104"/>
      <c r="D13" s="104"/>
      <c r="E13" s="104"/>
      <c r="F13" s="104"/>
      <c r="G13" s="104"/>
      <c r="I13" s="2"/>
    </row>
    <row r="14" spans="2:13" ht="30" hidden="1" customHeight="1" x14ac:dyDescent="0.25">
      <c r="B14" s="105" t="s">
        <v>60</v>
      </c>
      <c r="C14" s="105"/>
      <c r="D14" s="106"/>
      <c r="E14" s="107"/>
      <c r="F14" s="107"/>
      <c r="G14" s="108"/>
      <c r="I14" s="2"/>
    </row>
    <row r="15" spans="2:13" ht="9.9499999999999993" hidden="1" customHeight="1" x14ac:dyDescent="0.25">
      <c r="B15" s="96"/>
      <c r="C15" s="96"/>
      <c r="D15" s="96"/>
      <c r="E15" s="96"/>
      <c r="F15" s="96"/>
      <c r="G15" s="96"/>
      <c r="I15" s="2"/>
    </row>
    <row r="16" spans="2:13" ht="45" hidden="1" customHeight="1" x14ac:dyDescent="0.25">
      <c r="B16" s="5" t="s">
        <v>0</v>
      </c>
      <c r="C16" s="5" t="s">
        <v>3</v>
      </c>
      <c r="D16" s="5" t="s">
        <v>5</v>
      </c>
      <c r="E16" s="5" t="s">
        <v>6</v>
      </c>
      <c r="F16" s="5" t="s">
        <v>7</v>
      </c>
      <c r="G16" s="5" t="s">
        <v>14</v>
      </c>
      <c r="I16" s="2"/>
    </row>
    <row r="17" spans="1:9" ht="30" hidden="1" customHeight="1" x14ac:dyDescent="0.25">
      <c r="B17" s="11" t="e">
        <f>#REF!</f>
        <v>#REF!</v>
      </c>
      <c r="C17" s="12" t="e">
        <f>#REF!</f>
        <v>#REF!</v>
      </c>
      <c r="D17" s="12" t="e">
        <f>#REF!</f>
        <v>#REF!</v>
      </c>
      <c r="E17" s="13" t="e">
        <f>#REF!+#REF!+#REF!+#REF!</f>
        <v>#REF!</v>
      </c>
      <c r="F17" s="13" t="e">
        <f>#REF!+#REF!+#REF!+#REF!</f>
        <v>#REF!</v>
      </c>
      <c r="G17" s="7" t="e">
        <f t="shared" ref="G17:G18" si="2">F17/E17*100</f>
        <v>#REF!</v>
      </c>
      <c r="I17" s="27" t="e">
        <f t="shared" ref="I17:I18" si="3">IF(G17&gt;=75,"CONSIDERAR","NO")</f>
        <v>#REF!</v>
      </c>
    </row>
    <row r="18" spans="1:9" ht="65.099999999999994" hidden="1" customHeight="1" x14ac:dyDescent="0.25">
      <c r="B18" s="11" t="e">
        <f>#REF!</f>
        <v>#REF!</v>
      </c>
      <c r="C18" s="12" t="e">
        <f>#REF!</f>
        <v>#REF!</v>
      </c>
      <c r="D18" s="12" t="e">
        <f>#REF!</f>
        <v>#REF!</v>
      </c>
      <c r="E18" s="13" t="e">
        <f>#REF!+#REF!+#REF!+#REF!</f>
        <v>#REF!</v>
      </c>
      <c r="F18" s="13" t="e">
        <f>#REF!+#REF!+#REF!+#REF!</f>
        <v>#REF!</v>
      </c>
      <c r="G18" s="7" t="e">
        <f t="shared" si="2"/>
        <v>#REF!</v>
      </c>
      <c r="I18" s="27" t="e">
        <f t="shared" si="3"/>
        <v>#REF!</v>
      </c>
    </row>
    <row r="19" spans="1:9" ht="9.9499999999999993" hidden="1" customHeight="1" x14ac:dyDescent="0.25">
      <c r="B19" s="96"/>
      <c r="C19" s="96"/>
      <c r="D19" s="96"/>
      <c r="E19" s="96"/>
      <c r="F19" s="96"/>
      <c r="G19" s="96"/>
      <c r="I19" s="2"/>
    </row>
    <row r="20" spans="1:9" ht="30" hidden="1" customHeight="1" x14ac:dyDescent="0.25">
      <c r="B20" s="105" t="s">
        <v>61</v>
      </c>
      <c r="C20" s="105"/>
      <c r="D20" s="101"/>
      <c r="E20" s="102"/>
      <c r="F20" s="102"/>
      <c r="G20" s="103"/>
      <c r="I20" s="2"/>
    </row>
    <row r="21" spans="1:9" ht="9.9499999999999993" hidden="1" customHeight="1" x14ac:dyDescent="0.25">
      <c r="B21" s="96"/>
      <c r="C21" s="96"/>
      <c r="D21" s="96"/>
      <c r="E21" s="96"/>
      <c r="F21" s="96"/>
      <c r="G21" s="96"/>
      <c r="I21" s="2"/>
    </row>
    <row r="22" spans="1:9" ht="45" hidden="1" customHeight="1" x14ac:dyDescent="0.25">
      <c r="B22" s="5" t="s">
        <v>0</v>
      </c>
      <c r="C22" s="5" t="s">
        <v>3</v>
      </c>
      <c r="D22" s="5" t="s">
        <v>5</v>
      </c>
      <c r="E22" s="5" t="s">
        <v>6</v>
      </c>
      <c r="F22" s="5" t="s">
        <v>7</v>
      </c>
      <c r="G22" s="5" t="s">
        <v>14</v>
      </c>
      <c r="I22" s="2"/>
    </row>
    <row r="23" spans="1:9" ht="30" hidden="1" customHeight="1" x14ac:dyDescent="0.25">
      <c r="B23" s="12" t="e">
        <f>#REF!</f>
        <v>#REF!</v>
      </c>
      <c r="C23" s="12" t="e">
        <f>#REF!</f>
        <v>#REF!</v>
      </c>
      <c r="D23" s="12" t="e">
        <f>#REF!</f>
        <v>#REF!</v>
      </c>
      <c r="E23" s="13" t="e">
        <f>#REF!+#REF!+#REF!+#REF!</f>
        <v>#REF!</v>
      </c>
      <c r="F23" s="13" t="e">
        <f>#REF!+#REF!+#REF!+#REF!</f>
        <v>#REF!</v>
      </c>
      <c r="G23" s="7" t="e">
        <f>F23/E23*100</f>
        <v>#REF!</v>
      </c>
      <c r="I23" s="27" t="e">
        <f t="shared" ref="I23" si="4">IF(G23&gt;=75,"CONSIDERAR","NO")</f>
        <v>#REF!</v>
      </c>
    </row>
    <row r="24" spans="1:9" ht="9.9499999999999993" hidden="1" customHeight="1" x14ac:dyDescent="0.25">
      <c r="I24" s="2"/>
    </row>
    <row r="25" spans="1:9" ht="39.950000000000003" hidden="1" customHeight="1" x14ac:dyDescent="0.25">
      <c r="A25" t="s">
        <v>12</v>
      </c>
      <c r="B25" s="95" t="s">
        <v>9</v>
      </c>
      <c r="C25" s="95"/>
      <c r="D25" s="100"/>
      <c r="E25" s="100"/>
      <c r="F25" s="100"/>
      <c r="G25" s="100"/>
      <c r="I25" s="2"/>
    </row>
    <row r="26" spans="1:9" ht="9.9499999999999993" hidden="1" customHeight="1" x14ac:dyDescent="0.25">
      <c r="B26" s="93"/>
      <c r="C26" s="93"/>
      <c r="D26" s="93"/>
      <c r="E26" s="93"/>
      <c r="F26" s="93"/>
      <c r="G26" s="93"/>
      <c r="H26" s="93"/>
      <c r="I26" s="2"/>
    </row>
    <row r="27" spans="1:9" ht="30" hidden="1" customHeight="1" x14ac:dyDescent="0.25">
      <c r="B27" s="95" t="s">
        <v>62</v>
      </c>
      <c r="C27" s="95"/>
      <c r="D27" s="100"/>
      <c r="E27" s="100"/>
      <c r="F27" s="100"/>
      <c r="G27" s="100"/>
      <c r="I27" s="2"/>
    </row>
    <row r="28" spans="1:9" ht="9.9499999999999993" hidden="1" customHeight="1" x14ac:dyDescent="0.25">
      <c r="B28" s="96"/>
      <c r="C28" s="96"/>
      <c r="D28" s="96"/>
      <c r="E28" s="96"/>
      <c r="F28" s="96"/>
      <c r="G28" s="96"/>
      <c r="I28" s="2"/>
    </row>
    <row r="29" spans="1:9" ht="45" hidden="1" customHeight="1" x14ac:dyDescent="0.25">
      <c r="B29" s="5" t="s">
        <v>0</v>
      </c>
      <c r="C29" s="5" t="s">
        <v>3</v>
      </c>
      <c r="D29" s="5" t="s">
        <v>5</v>
      </c>
      <c r="E29" s="5" t="s">
        <v>6</v>
      </c>
      <c r="F29" s="5" t="s">
        <v>7</v>
      </c>
      <c r="G29" s="5" t="s">
        <v>14</v>
      </c>
      <c r="I29" s="2"/>
    </row>
    <row r="30" spans="1:9" ht="30" hidden="1" customHeight="1" x14ac:dyDescent="0.25">
      <c r="B30" s="11" t="e">
        <f>#REF!</f>
        <v>#REF!</v>
      </c>
      <c r="C30" s="12" t="e">
        <f>#REF!</f>
        <v>#REF!</v>
      </c>
      <c r="D30" s="12" t="e">
        <f>#REF!</f>
        <v>#REF!</v>
      </c>
      <c r="E30" s="13" t="e">
        <f>#REF!+#REF!+#REF!+#REF!</f>
        <v>#REF!</v>
      </c>
      <c r="F30" s="13" t="e">
        <f>#REF!+#REF!+#REF!+#REF!</f>
        <v>#REF!</v>
      </c>
      <c r="G30" s="7" t="e">
        <f>F30/E30*100</f>
        <v>#REF!</v>
      </c>
      <c r="I30" s="27" t="e">
        <f t="shared" ref="I30:I31" si="5">IF(G30&gt;=75,"CONSIDERAR","NO")</f>
        <v>#REF!</v>
      </c>
    </row>
    <row r="31" spans="1:9" ht="30" hidden="1" customHeight="1" x14ac:dyDescent="0.25">
      <c r="B31" s="11" t="e">
        <f>#REF!</f>
        <v>#REF!</v>
      </c>
      <c r="C31" s="12" t="e">
        <f>#REF!</f>
        <v>#REF!</v>
      </c>
      <c r="D31" s="12" t="e">
        <f>#REF!</f>
        <v>#REF!</v>
      </c>
      <c r="E31" s="13" t="e">
        <f>#REF!+#REF!+#REF!+#REF!</f>
        <v>#REF!</v>
      </c>
      <c r="F31" s="13" t="e">
        <f>#REF!+#REF!+#REF!+#REF!</f>
        <v>#REF!</v>
      </c>
      <c r="G31" s="7" t="e">
        <f>F31/E31*100</f>
        <v>#REF!</v>
      </c>
      <c r="I31" s="27" t="e">
        <f t="shared" si="5"/>
        <v>#REF!</v>
      </c>
    </row>
    <row r="32" spans="1:9" ht="9.9499999999999993" hidden="1" customHeight="1" x14ac:dyDescent="0.25">
      <c r="B32" s="104"/>
      <c r="C32" s="104"/>
      <c r="D32" s="104"/>
      <c r="E32" s="104"/>
      <c r="F32" s="104"/>
      <c r="G32" s="104"/>
      <c r="I32" s="2"/>
    </row>
    <row r="33" spans="2:9" ht="30" hidden="1" customHeight="1" x14ac:dyDescent="0.25">
      <c r="B33" s="105" t="s">
        <v>63</v>
      </c>
      <c r="C33" s="105"/>
      <c r="D33" s="100"/>
      <c r="E33" s="100"/>
      <c r="F33" s="100"/>
      <c r="G33" s="100"/>
      <c r="I33" s="2"/>
    </row>
    <row r="34" spans="2:9" ht="9.9499999999999993" hidden="1" customHeight="1" x14ac:dyDescent="0.25">
      <c r="B34" s="96"/>
      <c r="C34" s="96"/>
      <c r="D34" s="96"/>
      <c r="E34" s="96"/>
      <c r="F34" s="96"/>
      <c r="G34" s="96"/>
      <c r="I34" s="2"/>
    </row>
    <row r="35" spans="2:9" ht="45" hidden="1" customHeight="1" x14ac:dyDescent="0.25">
      <c r="B35" s="5" t="s">
        <v>0</v>
      </c>
      <c r="C35" s="5" t="s">
        <v>3</v>
      </c>
      <c r="D35" s="5" t="s">
        <v>5</v>
      </c>
      <c r="E35" s="5" t="s">
        <v>6</v>
      </c>
      <c r="F35" s="5" t="s">
        <v>7</v>
      </c>
      <c r="G35" s="5" t="s">
        <v>14</v>
      </c>
      <c r="I35" s="2"/>
    </row>
    <row r="36" spans="2:9" ht="30" hidden="1" customHeight="1" x14ac:dyDescent="0.25">
      <c r="B36" s="11" t="e">
        <f>#REF!</f>
        <v>#REF!</v>
      </c>
      <c r="C36" s="11" t="e">
        <f>#REF!</f>
        <v>#REF!</v>
      </c>
      <c r="D36" s="12" t="e">
        <f>#REF!</f>
        <v>#REF!</v>
      </c>
      <c r="E36" s="13" t="e">
        <f>#REF!+#REF!+#REF!+#REF!</f>
        <v>#REF!</v>
      </c>
      <c r="F36" s="13" t="e">
        <f>#REF!+#REF!+#REF!+#REF!</f>
        <v>#REF!</v>
      </c>
      <c r="G36" s="7" t="e">
        <f>F36/E36*100</f>
        <v>#REF!</v>
      </c>
      <c r="I36" s="27" t="e">
        <f t="shared" ref="I36" si="6">IF(G36&gt;=75,"CONSIDERAR","NO")</f>
        <v>#REF!</v>
      </c>
    </row>
    <row r="37" spans="2:9" ht="9.9499999999999993" hidden="1" customHeight="1" x14ac:dyDescent="0.25">
      <c r="B37" s="96"/>
      <c r="C37" s="96"/>
      <c r="D37" s="96"/>
      <c r="E37" s="96"/>
      <c r="F37" s="96"/>
      <c r="G37" s="96"/>
      <c r="I37" s="2"/>
    </row>
    <row r="38" spans="2:9" ht="39.950000000000003" hidden="1" customHeight="1" x14ac:dyDescent="0.25">
      <c r="B38" s="95" t="s">
        <v>10</v>
      </c>
      <c r="C38" s="95"/>
      <c r="D38" s="101"/>
      <c r="E38" s="102"/>
      <c r="F38" s="102"/>
      <c r="G38" s="103"/>
      <c r="I38" s="2"/>
    </row>
    <row r="39" spans="2:9" ht="9.9499999999999993" hidden="1" customHeight="1" x14ac:dyDescent="0.25">
      <c r="B39" s="93"/>
      <c r="C39" s="93"/>
      <c r="D39" s="93"/>
      <c r="E39" s="93"/>
      <c r="F39" s="93"/>
      <c r="G39" s="93"/>
      <c r="H39" s="93"/>
      <c r="I39" s="2"/>
    </row>
    <row r="40" spans="2:9" ht="30" hidden="1" customHeight="1" x14ac:dyDescent="0.25">
      <c r="B40" s="95" t="s">
        <v>64</v>
      </c>
      <c r="C40" s="95"/>
      <c r="D40" s="101"/>
      <c r="E40" s="102"/>
      <c r="F40" s="102"/>
      <c r="G40" s="103"/>
      <c r="I40" s="2"/>
    </row>
    <row r="41" spans="2:9" ht="9.9499999999999993" hidden="1" customHeight="1" x14ac:dyDescent="0.25">
      <c r="B41" s="96"/>
      <c r="C41" s="96"/>
      <c r="D41" s="96"/>
      <c r="E41" s="96"/>
      <c r="F41" s="96"/>
      <c r="G41" s="96"/>
      <c r="I41" s="2"/>
    </row>
    <row r="42" spans="2:9" ht="42.95" hidden="1" customHeight="1" x14ac:dyDescent="0.25">
      <c r="B42" s="5" t="s">
        <v>0</v>
      </c>
      <c r="C42" s="5" t="s">
        <v>3</v>
      </c>
      <c r="D42" s="5" t="s">
        <v>5</v>
      </c>
      <c r="E42" s="5" t="s">
        <v>6</v>
      </c>
      <c r="F42" s="5" t="s">
        <v>7</v>
      </c>
      <c r="G42" s="5" t="s">
        <v>14</v>
      </c>
      <c r="I42" s="2"/>
    </row>
    <row r="43" spans="2:9" ht="30" hidden="1" customHeight="1" x14ac:dyDescent="0.25">
      <c r="B43" s="11" t="e">
        <f>#REF!</f>
        <v>#REF!</v>
      </c>
      <c r="C43" s="12" t="e">
        <f>#REF!</f>
        <v>#REF!</v>
      </c>
      <c r="D43" s="12" t="e">
        <f>#REF!</f>
        <v>#REF!</v>
      </c>
      <c r="E43" s="13" t="e">
        <f>#REF!+#REF!+#REF!+#REF!</f>
        <v>#REF!</v>
      </c>
      <c r="F43" s="13" t="e">
        <f>#REF!+#REF!+#REF!+#REF!</f>
        <v>#REF!</v>
      </c>
      <c r="G43" s="7" t="e">
        <f>F43/E43*100</f>
        <v>#REF!</v>
      </c>
      <c r="I43" s="27" t="e">
        <f t="shared" ref="I43:I44" si="7">IF(G43&gt;=75,"CONSIDERAR","NO")</f>
        <v>#REF!</v>
      </c>
    </row>
    <row r="44" spans="2:9" ht="30" hidden="1" customHeight="1" x14ac:dyDescent="0.25">
      <c r="B44" s="11" t="e">
        <f>#REF!</f>
        <v>#REF!</v>
      </c>
      <c r="C44" s="12" t="e">
        <f>#REF!</f>
        <v>#REF!</v>
      </c>
      <c r="D44" s="12" t="e">
        <f>#REF!</f>
        <v>#REF!</v>
      </c>
      <c r="E44" s="13" t="e">
        <f>#REF!+#REF!+#REF!+#REF!</f>
        <v>#REF!</v>
      </c>
      <c r="F44" s="13" t="e">
        <f>#REF!+#REF!+#REF!+#REF!</f>
        <v>#REF!</v>
      </c>
      <c r="G44" s="7" t="e">
        <f>F44/E44*100</f>
        <v>#REF!</v>
      </c>
      <c r="I44" s="27" t="e">
        <f t="shared" si="7"/>
        <v>#REF!</v>
      </c>
    </row>
    <row r="45" spans="2:9" ht="9.9499999999999993" hidden="1" customHeight="1" x14ac:dyDescent="0.25">
      <c r="I45" s="2"/>
    </row>
    <row r="46" spans="2:9" ht="30" hidden="1" customHeight="1" x14ac:dyDescent="0.25">
      <c r="B46" s="95" t="s">
        <v>11</v>
      </c>
      <c r="C46" s="95"/>
      <c r="D46" s="100"/>
      <c r="E46" s="100"/>
      <c r="F46" s="100"/>
      <c r="G46" s="100"/>
      <c r="I46" s="2"/>
    </row>
    <row r="47" spans="2:9" ht="9.9499999999999993" hidden="1" customHeight="1" x14ac:dyDescent="0.25">
      <c r="B47" s="93"/>
      <c r="C47" s="93"/>
      <c r="D47" s="93"/>
      <c r="E47" s="93"/>
      <c r="F47" s="93"/>
      <c r="G47" s="93"/>
      <c r="H47" s="93"/>
      <c r="I47" s="2"/>
    </row>
    <row r="48" spans="2:9" ht="30" hidden="1" customHeight="1" x14ac:dyDescent="0.25">
      <c r="B48" s="95" t="s">
        <v>66</v>
      </c>
      <c r="C48" s="95"/>
      <c r="D48" s="109"/>
      <c r="E48" s="109"/>
      <c r="F48" s="109"/>
      <c r="G48" s="109"/>
      <c r="I48" s="2"/>
    </row>
    <row r="49" spans="2:9" ht="9.9499999999999993" hidden="1" customHeight="1" x14ac:dyDescent="0.25">
      <c r="B49" s="96"/>
      <c r="C49" s="96"/>
      <c r="D49" s="96"/>
      <c r="E49" s="96"/>
      <c r="F49" s="96"/>
      <c r="G49" s="96"/>
      <c r="I49" s="2"/>
    </row>
    <row r="50" spans="2:9" ht="42.95" hidden="1" customHeight="1" x14ac:dyDescent="0.25">
      <c r="B50" s="5" t="s">
        <v>0</v>
      </c>
      <c r="C50" s="5" t="s">
        <v>3</v>
      </c>
      <c r="D50" s="5" t="s">
        <v>5</v>
      </c>
      <c r="E50" s="5" t="s">
        <v>6</v>
      </c>
      <c r="F50" s="5" t="s">
        <v>7</v>
      </c>
      <c r="G50" s="5" t="s">
        <v>14</v>
      </c>
      <c r="I50" s="2"/>
    </row>
    <row r="51" spans="2:9" ht="30" hidden="1" customHeight="1" x14ac:dyDescent="0.25">
      <c r="B51" s="11" t="e">
        <f>#REF!</f>
        <v>#REF!</v>
      </c>
      <c r="C51" s="12" t="e">
        <f>#REF!</f>
        <v>#REF!</v>
      </c>
      <c r="D51" s="12" t="e">
        <f>#REF!</f>
        <v>#REF!</v>
      </c>
      <c r="E51" s="13" t="e">
        <f>#REF!+#REF!+#REF!+#REF!</f>
        <v>#REF!</v>
      </c>
      <c r="F51" s="13" t="e">
        <f>#REF!+#REF!+#REF!+#REF!</f>
        <v>#REF!</v>
      </c>
      <c r="G51" s="7" t="e">
        <f>F51/E51*100</f>
        <v>#REF!</v>
      </c>
      <c r="I51" s="27" t="e">
        <f t="shared" ref="I51:I52" si="8">IF(G51&gt;=75,"CONSIDERAR","NO")</f>
        <v>#REF!</v>
      </c>
    </row>
    <row r="52" spans="2:9" ht="30" hidden="1" customHeight="1" x14ac:dyDescent="0.25">
      <c r="B52" s="11" t="e">
        <f>#REF!</f>
        <v>#REF!</v>
      </c>
      <c r="C52" s="12" t="e">
        <f>#REF!</f>
        <v>#REF!</v>
      </c>
      <c r="D52" s="12" t="e">
        <f>#REF!</f>
        <v>#REF!</v>
      </c>
      <c r="E52" s="13" t="e">
        <f>#REF!+#REF!+#REF!+#REF!</f>
        <v>#REF!</v>
      </c>
      <c r="F52" s="13" t="e">
        <f>#REF!+#REF!+#REF!+#REF!</f>
        <v>#REF!</v>
      </c>
      <c r="G52" s="7" t="e">
        <f>F52/E52*100</f>
        <v>#REF!</v>
      </c>
      <c r="I52" s="27" t="e">
        <f t="shared" si="8"/>
        <v>#REF!</v>
      </c>
    </row>
    <row r="53" spans="2:9" ht="9.9499999999999993" hidden="1" customHeight="1" x14ac:dyDescent="0.25">
      <c r="B53" s="96"/>
      <c r="C53" s="96"/>
      <c r="D53" s="96"/>
      <c r="E53" s="96"/>
      <c r="F53" s="96"/>
      <c r="G53" s="96"/>
      <c r="I53" s="2"/>
    </row>
    <row r="54" spans="2:9" ht="30" hidden="1" customHeight="1" x14ac:dyDescent="0.25">
      <c r="B54" s="95" t="s">
        <v>65</v>
      </c>
      <c r="C54" s="95"/>
      <c r="D54" s="100"/>
      <c r="E54" s="100"/>
      <c r="F54" s="100"/>
      <c r="G54" s="100"/>
      <c r="I54" s="2"/>
    </row>
    <row r="55" spans="2:9" ht="9.9499999999999993" hidden="1" customHeight="1" x14ac:dyDescent="0.25">
      <c r="B55" s="96"/>
      <c r="C55" s="96"/>
      <c r="D55" s="96"/>
      <c r="E55" s="96"/>
      <c r="F55" s="96"/>
      <c r="G55" s="96"/>
      <c r="I55" s="2"/>
    </row>
    <row r="56" spans="2:9" ht="42.95" hidden="1" customHeight="1" x14ac:dyDescent="0.25">
      <c r="B56" s="5" t="s">
        <v>0</v>
      </c>
      <c r="C56" s="5" t="s">
        <v>3</v>
      </c>
      <c r="D56" s="5" t="s">
        <v>5</v>
      </c>
      <c r="E56" s="5" t="s">
        <v>6</v>
      </c>
      <c r="F56" s="5" t="s">
        <v>7</v>
      </c>
      <c r="G56" s="5" t="s">
        <v>14</v>
      </c>
      <c r="I56" s="2"/>
    </row>
    <row r="57" spans="2:9" ht="69.95" hidden="1" customHeight="1" x14ac:dyDescent="0.25">
      <c r="B57" s="11" t="e">
        <f>#REF!</f>
        <v>#REF!</v>
      </c>
      <c r="C57" s="12" t="e">
        <f>#REF!</f>
        <v>#REF!</v>
      </c>
      <c r="D57" s="11" t="e">
        <f>#REF!</f>
        <v>#REF!</v>
      </c>
      <c r="E57" s="13" t="e">
        <f>#REF!+#REF!+#REF!+#REF!</f>
        <v>#REF!</v>
      </c>
      <c r="F57" s="13" t="e">
        <f>#REF!+#REF!+#REF!+#REF!</f>
        <v>#REF!</v>
      </c>
      <c r="G57" s="7" t="e">
        <f>F57/E57*100</f>
        <v>#REF!</v>
      </c>
      <c r="I57" s="27" t="e">
        <f t="shared" ref="I57:I58" si="9">IF(G57&gt;=75,"CONSIDERAR","NO")</f>
        <v>#REF!</v>
      </c>
    </row>
    <row r="58" spans="2:9" ht="39.950000000000003" hidden="1" customHeight="1" x14ac:dyDescent="0.25">
      <c r="B58" s="11" t="e">
        <f>#REF!</f>
        <v>#REF!</v>
      </c>
      <c r="C58" s="12" t="e">
        <f>#REF!</f>
        <v>#REF!</v>
      </c>
      <c r="D58" s="11" t="e">
        <f>#REF!</f>
        <v>#REF!</v>
      </c>
      <c r="E58" s="13" t="e">
        <f>#REF!+#REF!+#REF!+#REF!</f>
        <v>#REF!</v>
      </c>
      <c r="F58" s="13" t="e">
        <f>#REF!+#REF!+#REF!+#REF!</f>
        <v>#REF!</v>
      </c>
      <c r="G58" s="7" t="e">
        <f>F58/E58*100</f>
        <v>#REF!</v>
      </c>
      <c r="I58" s="27" t="e">
        <f t="shared" si="9"/>
        <v>#REF!</v>
      </c>
    </row>
    <row r="59" spans="2:9" ht="9.9499999999999993" hidden="1" customHeight="1" x14ac:dyDescent="0.25">
      <c r="B59" s="110"/>
      <c r="C59" s="110"/>
      <c r="D59" s="110"/>
      <c r="E59" s="110"/>
      <c r="F59" s="110"/>
      <c r="G59" s="110"/>
      <c r="I59" s="2"/>
    </row>
    <row r="60" spans="2:9" ht="39.950000000000003" hidden="1" customHeight="1" x14ac:dyDescent="0.25">
      <c r="B60" s="95" t="s">
        <v>13</v>
      </c>
      <c r="C60" s="95"/>
      <c r="D60" s="97"/>
      <c r="E60" s="98"/>
      <c r="F60" s="98"/>
      <c r="G60" s="99"/>
      <c r="I60" s="2"/>
    </row>
    <row r="61" spans="2:9" ht="9.9499999999999993" hidden="1" customHeight="1" x14ac:dyDescent="0.25">
      <c r="B61" s="93"/>
      <c r="C61" s="93"/>
      <c r="D61" s="93"/>
      <c r="E61" s="93"/>
      <c r="F61" s="93"/>
      <c r="G61" s="93"/>
      <c r="H61" s="93"/>
      <c r="I61" s="2"/>
    </row>
    <row r="62" spans="2:9" ht="30" hidden="1" customHeight="1" x14ac:dyDescent="0.25">
      <c r="B62" s="95" t="s">
        <v>67</v>
      </c>
      <c r="C62" s="95"/>
      <c r="D62" s="97"/>
      <c r="E62" s="98"/>
      <c r="F62" s="98"/>
      <c r="G62" s="99"/>
      <c r="I62" s="2"/>
    </row>
    <row r="63" spans="2:9" ht="9.9499999999999993" hidden="1" customHeight="1" x14ac:dyDescent="0.25">
      <c r="B63" s="96"/>
      <c r="C63" s="96"/>
      <c r="D63" s="96"/>
      <c r="E63" s="96"/>
      <c r="F63" s="96"/>
      <c r="G63" s="96"/>
      <c r="I63" s="2"/>
    </row>
    <row r="64" spans="2:9" ht="45" hidden="1" customHeight="1" x14ac:dyDescent="0.25">
      <c r="B64" s="5" t="s">
        <v>0</v>
      </c>
      <c r="C64" s="5" t="s">
        <v>3</v>
      </c>
      <c r="D64" s="5" t="s">
        <v>5</v>
      </c>
      <c r="E64" s="5" t="s">
        <v>6</v>
      </c>
      <c r="F64" s="5" t="s">
        <v>7</v>
      </c>
      <c r="G64" s="5" t="s">
        <v>14</v>
      </c>
      <c r="I64" s="2"/>
    </row>
    <row r="65" spans="2:9" ht="39.950000000000003" hidden="1" customHeight="1" x14ac:dyDescent="0.25">
      <c r="B65" s="11" t="e">
        <f>#REF!</f>
        <v>#REF!</v>
      </c>
      <c r="C65" s="12" t="e">
        <f>#REF!</f>
        <v>#REF!</v>
      </c>
      <c r="D65" s="11" t="e">
        <f>#REF!</f>
        <v>#REF!</v>
      </c>
      <c r="E65" s="13" t="e">
        <f>#REF!+#REF!+#REF!+#REF!</f>
        <v>#REF!</v>
      </c>
      <c r="F65" s="13" t="e">
        <f>#REF!+#REF!+#REF!+#REF!</f>
        <v>#REF!</v>
      </c>
      <c r="G65" s="7" t="e">
        <f>F65/E65*100</f>
        <v>#REF!</v>
      </c>
      <c r="I65" s="27" t="e">
        <f t="shared" ref="I65:I68" si="10">IF(G65&gt;=75,"CONSIDERAR","NO")</f>
        <v>#REF!</v>
      </c>
    </row>
    <row r="66" spans="2:9" ht="30" hidden="1" customHeight="1" x14ac:dyDescent="0.25">
      <c r="B66" s="11" t="e">
        <f>#REF!</f>
        <v>#REF!</v>
      </c>
      <c r="C66" s="12" t="e">
        <f>#REF!</f>
        <v>#REF!</v>
      </c>
      <c r="D66" s="11" t="e">
        <f>#REF!</f>
        <v>#REF!</v>
      </c>
      <c r="E66" s="13" t="e">
        <f>#REF!+#REF!+#REF!+#REF!</f>
        <v>#REF!</v>
      </c>
      <c r="F66" s="13" t="e">
        <f>#REF!+#REF!+#REF!+#REF!</f>
        <v>#REF!</v>
      </c>
      <c r="G66" s="7" t="e">
        <f t="shared" ref="G66:G68" si="11">F66/E66*100</f>
        <v>#REF!</v>
      </c>
      <c r="I66" s="27" t="e">
        <f t="shared" si="10"/>
        <v>#REF!</v>
      </c>
    </row>
    <row r="67" spans="2:9" ht="30" hidden="1" customHeight="1" x14ac:dyDescent="0.25">
      <c r="B67" s="11" t="e">
        <f>#REF!</f>
        <v>#REF!</v>
      </c>
      <c r="C67" s="12" t="e">
        <f>#REF!</f>
        <v>#REF!</v>
      </c>
      <c r="D67" s="11" t="e">
        <f>#REF!</f>
        <v>#REF!</v>
      </c>
      <c r="E67" s="13" t="e">
        <f>#REF!+#REF!+#REF!+#REF!</f>
        <v>#REF!</v>
      </c>
      <c r="F67" s="13" t="e">
        <f>#REF!+#REF!+#REF!+#REF!</f>
        <v>#REF!</v>
      </c>
      <c r="G67" s="7" t="e">
        <f t="shared" si="11"/>
        <v>#REF!</v>
      </c>
      <c r="I67" s="27" t="e">
        <f t="shared" si="10"/>
        <v>#REF!</v>
      </c>
    </row>
    <row r="68" spans="2:9" ht="30" hidden="1" customHeight="1" x14ac:dyDescent="0.25">
      <c r="B68" s="11" t="e">
        <f>#REF!</f>
        <v>#REF!</v>
      </c>
      <c r="C68" s="12" t="e">
        <f>#REF!</f>
        <v>#REF!</v>
      </c>
      <c r="D68" s="11" t="e">
        <f>#REF!</f>
        <v>#REF!</v>
      </c>
      <c r="E68" s="13" t="e">
        <f>#REF!+#REF!+#REF!+#REF!</f>
        <v>#REF!</v>
      </c>
      <c r="F68" s="13" t="e">
        <f>#REF!+#REF!+#REF!+#REF!</f>
        <v>#REF!</v>
      </c>
      <c r="G68" s="7" t="e">
        <f t="shared" si="11"/>
        <v>#REF!</v>
      </c>
      <c r="I68" s="27" t="e">
        <f t="shared" si="10"/>
        <v>#REF!</v>
      </c>
    </row>
    <row r="69" spans="2:9" ht="30" hidden="1" customHeight="1" x14ac:dyDescent="0.25"/>
    <row r="70" spans="2:9" ht="30" customHeight="1" x14ac:dyDescent="0.25">
      <c r="B70" s="28" t="s">
        <v>86</v>
      </c>
    </row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</sheetData>
  <sheetProtection algorithmName="SHA-512" hashValue="F/n4UgccRGgwPDul/QqmvdiOxgUsc2rdWgppWEKGQMTgRXQ1Iv133BiOUPSgtKvkUV5YPjHjEq97DU9Fk46vLA==" saltValue="d8qepB0E37z8AUHVwqwafg==" spinCount="100000" sheet="1" objects="1" scenarios="1"/>
  <mergeCells count="51">
    <mergeCell ref="B63:G63"/>
    <mergeCell ref="B49:G49"/>
    <mergeCell ref="B53:G53"/>
    <mergeCell ref="B54:C54"/>
    <mergeCell ref="D54:G54"/>
    <mergeCell ref="B55:G55"/>
    <mergeCell ref="B59:G59"/>
    <mergeCell ref="B60:C60"/>
    <mergeCell ref="D60:G60"/>
    <mergeCell ref="B62:C62"/>
    <mergeCell ref="D62:G62"/>
    <mergeCell ref="B61:H61"/>
    <mergeCell ref="B39:H39"/>
    <mergeCell ref="B41:G41"/>
    <mergeCell ref="B46:C46"/>
    <mergeCell ref="D46:G46"/>
    <mergeCell ref="B48:C48"/>
    <mergeCell ref="D48:G48"/>
    <mergeCell ref="B47:H47"/>
    <mergeCell ref="B19:G19"/>
    <mergeCell ref="B20:C20"/>
    <mergeCell ref="D20:G20"/>
    <mergeCell ref="B21:G21"/>
    <mergeCell ref="B40:C40"/>
    <mergeCell ref="D40:G40"/>
    <mergeCell ref="B27:C27"/>
    <mergeCell ref="D27:G27"/>
    <mergeCell ref="B28:G28"/>
    <mergeCell ref="B32:G32"/>
    <mergeCell ref="B33:C33"/>
    <mergeCell ref="D33:G33"/>
    <mergeCell ref="B34:G34"/>
    <mergeCell ref="B37:G37"/>
    <mergeCell ref="B38:C38"/>
    <mergeCell ref="D38:G38"/>
    <mergeCell ref="K6:M6"/>
    <mergeCell ref="B26:H26"/>
    <mergeCell ref="B2:G2"/>
    <mergeCell ref="B3:G3"/>
    <mergeCell ref="B4:C4"/>
    <mergeCell ref="D4:G4"/>
    <mergeCell ref="B5:G5"/>
    <mergeCell ref="B25:C25"/>
    <mergeCell ref="D25:G25"/>
    <mergeCell ref="B6:C6"/>
    <mergeCell ref="D6:G6"/>
    <mergeCell ref="B7:G7"/>
    <mergeCell ref="B13:G13"/>
    <mergeCell ref="B14:C14"/>
    <mergeCell ref="D14:G14"/>
    <mergeCell ref="B15:G15"/>
  </mergeCells>
  <conditionalFormatting sqref="G9:G12">
    <cfRule type="cellIs" dxfId="29" priority="25" operator="lessThan">
      <formula>75</formula>
    </cfRule>
    <cfRule type="cellIs" dxfId="28" priority="26" operator="between">
      <formula>75</formula>
      <formula>94</formula>
    </cfRule>
    <cfRule type="cellIs" dxfId="27" priority="27" operator="greaterThanOrEqual">
      <formula>95</formula>
    </cfRule>
  </conditionalFormatting>
  <conditionalFormatting sqref="G17:G18">
    <cfRule type="cellIs" dxfId="26" priority="22" operator="lessThan">
      <formula>75</formula>
    </cfRule>
    <cfRule type="cellIs" dxfId="25" priority="23" operator="between">
      <formula>75</formula>
      <formula>94</formula>
    </cfRule>
    <cfRule type="cellIs" dxfId="24" priority="24" operator="greaterThanOrEqual">
      <formula>95</formula>
    </cfRule>
  </conditionalFormatting>
  <conditionalFormatting sqref="G23">
    <cfRule type="cellIs" dxfId="23" priority="19" operator="lessThan">
      <formula>75</formula>
    </cfRule>
    <cfRule type="cellIs" dxfId="22" priority="20" operator="between">
      <formula>75</formula>
      <formula>94</formula>
    </cfRule>
    <cfRule type="cellIs" dxfId="21" priority="21" operator="greaterThanOrEqual">
      <formula>95</formula>
    </cfRule>
  </conditionalFormatting>
  <conditionalFormatting sqref="G30:G31">
    <cfRule type="cellIs" dxfId="20" priority="16" operator="lessThan">
      <formula>75</formula>
    </cfRule>
    <cfRule type="cellIs" dxfId="19" priority="17" operator="between">
      <formula>75</formula>
      <formula>94</formula>
    </cfRule>
    <cfRule type="cellIs" dxfId="18" priority="18" operator="greaterThanOrEqual">
      <formula>95</formula>
    </cfRule>
  </conditionalFormatting>
  <conditionalFormatting sqref="G36">
    <cfRule type="cellIs" dxfId="17" priority="13" operator="lessThan">
      <formula>75</formula>
    </cfRule>
    <cfRule type="cellIs" dxfId="16" priority="14" operator="between">
      <formula>75</formula>
      <formula>94</formula>
    </cfRule>
    <cfRule type="cellIs" dxfId="15" priority="15" operator="greaterThanOrEqual">
      <formula>95</formula>
    </cfRule>
  </conditionalFormatting>
  <conditionalFormatting sqref="G43:G44">
    <cfRule type="cellIs" dxfId="14" priority="10" operator="lessThan">
      <formula>75</formula>
    </cfRule>
    <cfRule type="cellIs" dxfId="13" priority="11" operator="between">
      <formula>75</formula>
      <formula>94</formula>
    </cfRule>
    <cfRule type="cellIs" dxfId="12" priority="12" operator="greaterThanOrEqual">
      <formula>95</formula>
    </cfRule>
  </conditionalFormatting>
  <conditionalFormatting sqref="G51:G52">
    <cfRule type="cellIs" dxfId="11" priority="7" operator="lessThan">
      <formula>75</formula>
    </cfRule>
    <cfRule type="cellIs" dxfId="10" priority="8" operator="between">
      <formula>75</formula>
      <formula>94</formula>
    </cfRule>
    <cfRule type="cellIs" dxfId="9" priority="9" operator="greaterThanOrEqual">
      <formula>95</formula>
    </cfRule>
  </conditionalFormatting>
  <conditionalFormatting sqref="G57:G58">
    <cfRule type="cellIs" dxfId="8" priority="4" operator="lessThan">
      <formula>75</formula>
    </cfRule>
    <cfRule type="cellIs" dxfId="7" priority="5" operator="between">
      <formula>75</formula>
      <formula>94</formula>
    </cfRule>
    <cfRule type="cellIs" dxfId="6" priority="6" operator="greaterThanOrEqual">
      <formula>95</formula>
    </cfRule>
  </conditionalFormatting>
  <conditionalFormatting sqref="G65:G68">
    <cfRule type="cellIs" dxfId="5" priority="1" operator="lessThan">
      <formula>75</formula>
    </cfRule>
    <cfRule type="cellIs" dxfId="4" priority="2" operator="between">
      <formula>75</formula>
      <formula>94</formula>
    </cfRule>
    <cfRule type="cellIs" dxfId="3" priority="3" operator="greaterThanOrEqual">
      <formula>95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B1:L565"/>
  <sheetViews>
    <sheetView topLeftCell="A26" workbookViewId="0">
      <selection activeCell="C37" sqref="C37"/>
    </sheetView>
  </sheetViews>
  <sheetFormatPr baseColWidth="10" defaultRowHeight="15" x14ac:dyDescent="0.25"/>
  <cols>
    <col min="2" max="3" width="30.7109375" customWidth="1"/>
    <col min="4" max="4" width="35.7109375" customWidth="1"/>
    <col min="5" max="5" width="25.7109375" customWidth="1"/>
    <col min="6" max="12" width="15.7109375" customWidth="1"/>
  </cols>
  <sheetData>
    <row r="1" spans="2:12" ht="9.9499999999999993" hidden="1" customHeight="1" x14ac:dyDescent="0.25">
      <c r="D1" s="3"/>
      <c r="E1" s="3"/>
      <c r="F1" s="3"/>
      <c r="G1" s="3"/>
      <c r="H1" s="3"/>
      <c r="I1" s="3"/>
    </row>
    <row r="2" spans="2:12" ht="39.950000000000003" hidden="1" customHeight="1" x14ac:dyDescent="0.25">
      <c r="B2" s="94" t="s">
        <v>58</v>
      </c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2:12" ht="9.9499999999999993" hidden="1" customHeight="1" x14ac:dyDescent="0.25">
      <c r="D3" s="96"/>
      <c r="E3" s="96"/>
      <c r="F3" s="96"/>
      <c r="G3" s="96"/>
      <c r="H3" s="96"/>
      <c r="I3" s="96"/>
    </row>
    <row r="4" spans="2:12" ht="9.9499999999999993" hidden="1" customHeight="1" x14ac:dyDescent="0.25">
      <c r="D4" s="96"/>
      <c r="E4" s="96"/>
      <c r="F4" s="96"/>
      <c r="G4" s="96"/>
      <c r="H4" s="96"/>
      <c r="I4" s="96"/>
    </row>
    <row r="5" spans="2:12" s="1" customFormat="1" ht="45" hidden="1" x14ac:dyDescent="0.25">
      <c r="B5" s="5" t="s">
        <v>1</v>
      </c>
      <c r="C5" s="5" t="s">
        <v>16</v>
      </c>
      <c r="D5" s="5" t="s">
        <v>0</v>
      </c>
      <c r="E5" s="5" t="s">
        <v>3</v>
      </c>
      <c r="F5" s="5" t="s">
        <v>5</v>
      </c>
      <c r="G5" s="5" t="s">
        <v>6</v>
      </c>
      <c r="H5" s="5" t="s">
        <v>7</v>
      </c>
      <c r="I5" s="5" t="s">
        <v>17</v>
      </c>
      <c r="J5" s="5" t="s">
        <v>18</v>
      </c>
      <c r="K5" s="5" t="s">
        <v>19</v>
      </c>
      <c r="L5" s="5" t="s">
        <v>20</v>
      </c>
    </row>
    <row r="6" spans="2:12" ht="30" hidden="1" customHeight="1" x14ac:dyDescent="0.25">
      <c r="B6" s="111" t="s">
        <v>21</v>
      </c>
      <c r="C6" s="111" t="s">
        <v>22</v>
      </c>
      <c r="D6" s="4" t="s">
        <v>31</v>
      </c>
      <c r="E6" s="4" t="s">
        <v>56</v>
      </c>
      <c r="F6" s="4" t="s">
        <v>57</v>
      </c>
      <c r="G6" s="4"/>
      <c r="H6" s="4"/>
      <c r="I6" s="7" t="e">
        <f>H6/G6*100</f>
        <v>#DIV/0!</v>
      </c>
      <c r="J6" s="111" t="e">
        <f>SUM(I6:I9)/4</f>
        <v>#DIV/0!</v>
      </c>
      <c r="K6" s="112" t="e">
        <f>SUM(J6:J12)/3</f>
        <v>#DIV/0!</v>
      </c>
      <c r="L6" s="113"/>
    </row>
    <row r="7" spans="2:12" ht="30" hidden="1" customHeight="1" x14ac:dyDescent="0.25">
      <c r="B7" s="111"/>
      <c r="C7" s="111"/>
      <c r="D7" s="4" t="s">
        <v>32</v>
      </c>
      <c r="E7" s="4" t="s">
        <v>56</v>
      </c>
      <c r="F7" s="4" t="s">
        <v>57</v>
      </c>
      <c r="G7" s="4"/>
      <c r="H7" s="4"/>
      <c r="I7" s="7" t="e">
        <f t="shared" ref="I7:I12" si="0">H7/G7*100</f>
        <v>#DIV/0!</v>
      </c>
      <c r="J7" s="111"/>
      <c r="K7" s="112"/>
      <c r="L7" s="113"/>
    </row>
    <row r="8" spans="2:12" ht="30" hidden="1" customHeight="1" x14ac:dyDescent="0.25">
      <c r="B8" s="111"/>
      <c r="C8" s="111"/>
      <c r="D8" s="4" t="s">
        <v>33</v>
      </c>
      <c r="E8" s="4" t="s">
        <v>56</v>
      </c>
      <c r="F8" s="4" t="s">
        <v>57</v>
      </c>
      <c r="G8" s="4"/>
      <c r="H8" s="4"/>
      <c r="I8" s="7" t="e">
        <f t="shared" si="0"/>
        <v>#DIV/0!</v>
      </c>
      <c r="J8" s="111"/>
      <c r="K8" s="112"/>
      <c r="L8" s="113"/>
    </row>
    <row r="9" spans="2:12" ht="30" hidden="1" customHeight="1" x14ac:dyDescent="0.25">
      <c r="B9" s="111"/>
      <c r="C9" s="111"/>
      <c r="D9" s="4" t="s">
        <v>34</v>
      </c>
      <c r="E9" s="4" t="s">
        <v>56</v>
      </c>
      <c r="F9" s="4" t="s">
        <v>57</v>
      </c>
      <c r="G9" s="4"/>
      <c r="H9" s="4"/>
      <c r="I9" s="7" t="e">
        <f t="shared" si="0"/>
        <v>#DIV/0!</v>
      </c>
      <c r="J9" s="111"/>
      <c r="K9" s="112"/>
      <c r="L9" s="113"/>
    </row>
    <row r="10" spans="2:12" ht="30" hidden="1" customHeight="1" x14ac:dyDescent="0.25">
      <c r="B10" s="111"/>
      <c r="C10" s="111" t="s">
        <v>23</v>
      </c>
      <c r="D10" s="4" t="s">
        <v>35</v>
      </c>
      <c r="E10" s="4" t="s">
        <v>56</v>
      </c>
      <c r="F10" s="4" t="s">
        <v>57</v>
      </c>
      <c r="G10" s="4"/>
      <c r="H10" s="4"/>
      <c r="I10" s="7" t="e">
        <f>H10/G10*100</f>
        <v>#DIV/0!</v>
      </c>
      <c r="J10" s="112" t="e">
        <f>SUM(I10:I11)/2</f>
        <v>#DIV/0!</v>
      </c>
      <c r="K10" s="112"/>
      <c r="L10" s="113"/>
    </row>
    <row r="11" spans="2:12" ht="30" hidden="1" customHeight="1" x14ac:dyDescent="0.25">
      <c r="B11" s="111"/>
      <c r="C11" s="111"/>
      <c r="D11" s="4" t="s">
        <v>36</v>
      </c>
      <c r="E11" s="4" t="s">
        <v>56</v>
      </c>
      <c r="F11" s="4" t="s">
        <v>57</v>
      </c>
      <c r="G11" s="4"/>
      <c r="H11" s="4"/>
      <c r="I11" s="7" t="e">
        <f t="shared" si="0"/>
        <v>#DIV/0!</v>
      </c>
      <c r="J11" s="112"/>
      <c r="K11" s="112"/>
      <c r="L11" s="113"/>
    </row>
    <row r="12" spans="2:12" ht="30" hidden="1" customHeight="1" x14ac:dyDescent="0.25">
      <c r="B12" s="111"/>
      <c r="C12" s="4" t="s">
        <v>24</v>
      </c>
      <c r="D12" s="4" t="s">
        <v>37</v>
      </c>
      <c r="E12" s="4" t="s">
        <v>56</v>
      </c>
      <c r="F12" s="4" t="s">
        <v>57</v>
      </c>
      <c r="G12" s="4"/>
      <c r="H12" s="4"/>
      <c r="I12" s="7" t="e">
        <f t="shared" si="0"/>
        <v>#DIV/0!</v>
      </c>
      <c r="J12" s="4">
        <v>62.5</v>
      </c>
      <c r="K12" s="112"/>
      <c r="L12" s="113"/>
    </row>
    <row r="13" spans="2:12" ht="30" hidden="1" customHeight="1" x14ac:dyDescent="0.25">
      <c r="B13" s="111" t="s">
        <v>25</v>
      </c>
      <c r="C13" s="111" t="s">
        <v>26</v>
      </c>
      <c r="D13" s="4" t="s">
        <v>38</v>
      </c>
      <c r="E13" s="4" t="s">
        <v>56</v>
      </c>
      <c r="F13" s="4" t="s">
        <v>57</v>
      </c>
      <c r="G13" s="6"/>
      <c r="H13" s="6"/>
      <c r="I13" s="6"/>
      <c r="J13" s="113"/>
      <c r="K13" s="113"/>
      <c r="L13" s="113"/>
    </row>
    <row r="14" spans="2:12" ht="30" hidden="1" customHeight="1" x14ac:dyDescent="0.25">
      <c r="B14" s="111"/>
      <c r="C14" s="111"/>
      <c r="D14" s="4" t="s">
        <v>39</v>
      </c>
      <c r="E14" s="4" t="s">
        <v>56</v>
      </c>
      <c r="F14" s="4" t="s">
        <v>57</v>
      </c>
      <c r="G14" s="6"/>
      <c r="H14" s="6"/>
      <c r="I14" s="6"/>
      <c r="J14" s="113"/>
      <c r="K14" s="113"/>
      <c r="L14" s="113"/>
    </row>
    <row r="15" spans="2:12" ht="30" hidden="1" customHeight="1" x14ac:dyDescent="0.25">
      <c r="B15" s="111"/>
      <c r="C15" s="4" t="s">
        <v>27</v>
      </c>
      <c r="D15" s="4" t="s">
        <v>40</v>
      </c>
      <c r="E15" s="4" t="s">
        <v>56</v>
      </c>
      <c r="F15" s="4" t="s">
        <v>57</v>
      </c>
      <c r="G15" s="6"/>
      <c r="H15" s="6"/>
      <c r="I15" s="6"/>
      <c r="J15" s="6"/>
      <c r="K15" s="113"/>
      <c r="L15" s="113"/>
    </row>
    <row r="16" spans="2:12" ht="30" hidden="1" customHeight="1" x14ac:dyDescent="0.25">
      <c r="B16" s="111" t="s">
        <v>28</v>
      </c>
      <c r="C16" s="4" t="s">
        <v>29</v>
      </c>
      <c r="D16" s="4" t="s">
        <v>41</v>
      </c>
      <c r="E16" s="4" t="s">
        <v>56</v>
      </c>
      <c r="F16" s="4" t="s">
        <v>57</v>
      </c>
      <c r="G16" s="6"/>
      <c r="H16" s="6"/>
      <c r="I16" s="6"/>
      <c r="J16" s="6"/>
      <c r="K16" s="114"/>
      <c r="L16" s="113"/>
    </row>
    <row r="17" spans="2:12" ht="30" hidden="1" customHeight="1" x14ac:dyDescent="0.25">
      <c r="B17" s="111"/>
      <c r="C17" s="4" t="s">
        <v>30</v>
      </c>
      <c r="D17" s="4" t="s">
        <v>42</v>
      </c>
      <c r="E17" s="4" t="s">
        <v>56</v>
      </c>
      <c r="F17" s="4" t="s">
        <v>57</v>
      </c>
      <c r="G17" s="6"/>
      <c r="H17" s="6"/>
      <c r="I17" s="6"/>
      <c r="J17" s="6"/>
      <c r="K17" s="115"/>
      <c r="L17" s="113"/>
    </row>
    <row r="18" spans="2:12" ht="30" hidden="1" customHeight="1" x14ac:dyDescent="0.25">
      <c r="B18" s="111" t="s">
        <v>43</v>
      </c>
      <c r="C18" s="116" t="s">
        <v>44</v>
      </c>
      <c r="D18" s="4" t="s">
        <v>46</v>
      </c>
      <c r="E18" s="4" t="s">
        <v>56</v>
      </c>
      <c r="F18" s="4" t="s">
        <v>57</v>
      </c>
      <c r="G18" s="6"/>
      <c r="H18" s="6"/>
      <c r="I18" s="6"/>
      <c r="J18" s="113"/>
      <c r="K18" s="113"/>
      <c r="L18" s="113"/>
    </row>
    <row r="19" spans="2:12" ht="30" hidden="1" customHeight="1" x14ac:dyDescent="0.25">
      <c r="B19" s="111"/>
      <c r="C19" s="117"/>
      <c r="D19" s="4" t="s">
        <v>48</v>
      </c>
      <c r="E19" s="4" t="s">
        <v>56</v>
      </c>
      <c r="F19" s="4" t="s">
        <v>57</v>
      </c>
      <c r="G19" s="6"/>
      <c r="H19" s="6"/>
      <c r="I19" s="6"/>
      <c r="J19" s="113"/>
      <c r="K19" s="113"/>
      <c r="L19" s="113"/>
    </row>
    <row r="20" spans="2:12" ht="30" hidden="1" customHeight="1" x14ac:dyDescent="0.25">
      <c r="B20" s="111"/>
      <c r="C20" s="111" t="s">
        <v>45</v>
      </c>
      <c r="D20" s="4" t="s">
        <v>47</v>
      </c>
      <c r="E20" s="4" t="s">
        <v>56</v>
      </c>
      <c r="F20" s="4" t="s">
        <v>57</v>
      </c>
      <c r="G20" s="6"/>
      <c r="H20" s="6"/>
      <c r="I20" s="6"/>
      <c r="J20" s="113"/>
      <c r="K20" s="113"/>
      <c r="L20" s="113"/>
    </row>
    <row r="21" spans="2:12" ht="30" hidden="1" customHeight="1" x14ac:dyDescent="0.25">
      <c r="B21" s="111"/>
      <c r="C21" s="111"/>
      <c r="D21" s="4" t="s">
        <v>49</v>
      </c>
      <c r="E21" s="4" t="s">
        <v>56</v>
      </c>
      <c r="F21" s="4" t="s">
        <v>57</v>
      </c>
      <c r="G21" s="6"/>
      <c r="H21" s="6"/>
      <c r="I21" s="6"/>
      <c r="J21" s="113"/>
      <c r="K21" s="113"/>
      <c r="L21" s="113"/>
    </row>
    <row r="22" spans="2:12" ht="30" hidden="1" customHeight="1" x14ac:dyDescent="0.25">
      <c r="B22" s="111" t="s">
        <v>50</v>
      </c>
      <c r="C22" s="111" t="s">
        <v>51</v>
      </c>
      <c r="D22" s="9" t="s">
        <v>52</v>
      </c>
      <c r="E22" s="4" t="s">
        <v>56</v>
      </c>
      <c r="F22" s="4" t="s">
        <v>57</v>
      </c>
      <c r="G22" s="6"/>
      <c r="H22" s="6"/>
      <c r="I22" s="6"/>
      <c r="J22" s="6"/>
      <c r="K22" s="113"/>
      <c r="L22" s="113"/>
    </row>
    <row r="23" spans="2:12" ht="30" hidden="1" customHeight="1" x14ac:dyDescent="0.25">
      <c r="B23" s="111"/>
      <c r="C23" s="111"/>
      <c r="D23" s="9" t="s">
        <v>53</v>
      </c>
      <c r="E23" s="4" t="s">
        <v>56</v>
      </c>
      <c r="F23" s="4" t="s">
        <v>57</v>
      </c>
      <c r="G23" s="6"/>
      <c r="H23" s="6"/>
      <c r="I23" s="6"/>
      <c r="J23" s="6"/>
      <c r="K23" s="113"/>
      <c r="L23" s="113"/>
    </row>
    <row r="24" spans="2:12" ht="30" hidden="1" customHeight="1" x14ac:dyDescent="0.25">
      <c r="B24" s="111"/>
      <c r="C24" s="111"/>
      <c r="D24" s="9" t="s">
        <v>54</v>
      </c>
      <c r="E24" s="4" t="s">
        <v>56</v>
      </c>
      <c r="F24" s="4" t="s">
        <v>57</v>
      </c>
      <c r="G24" s="6"/>
      <c r="H24" s="6"/>
      <c r="I24" s="6"/>
      <c r="J24" s="6"/>
      <c r="K24" s="113"/>
      <c r="L24" s="113"/>
    </row>
    <row r="25" spans="2:12" ht="30" hidden="1" customHeight="1" x14ac:dyDescent="0.25">
      <c r="B25" s="111"/>
      <c r="C25" s="111"/>
      <c r="D25" s="9" t="s">
        <v>55</v>
      </c>
      <c r="E25" s="4" t="s">
        <v>56</v>
      </c>
      <c r="F25" s="4" t="s">
        <v>57</v>
      </c>
      <c r="G25" s="6"/>
      <c r="H25" s="6"/>
      <c r="I25" s="6"/>
      <c r="J25" s="6"/>
      <c r="K25" s="113"/>
      <c r="L25" s="113"/>
    </row>
    <row r="26" spans="2:12" ht="30" customHeight="1" x14ac:dyDescent="0.25"/>
    <row r="27" spans="2:12" ht="30" customHeight="1" x14ac:dyDescent="0.25">
      <c r="B27" s="29" t="s">
        <v>85</v>
      </c>
    </row>
    <row r="28" spans="2:12" ht="30" customHeight="1" x14ac:dyDescent="0.25"/>
    <row r="29" spans="2:12" ht="30" customHeight="1" x14ac:dyDescent="0.25"/>
    <row r="30" spans="2:12" ht="30" customHeight="1" x14ac:dyDescent="0.25"/>
    <row r="31" spans="2:12" ht="30" customHeight="1" x14ac:dyDescent="0.25"/>
    <row r="32" spans="2:1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</sheetData>
  <sheetProtection algorithmName="SHA-512" hashValue="xC1V4yNK585/moy6zgzZEjjLCdKet5OJBASAFlunHYdh9485ZxRyBYtdd+hGd/XBNd+wAmfyVVdgWSfX4UGqWg==" saltValue="O+eCpiHfjEDumSRCXPqu7Q==" spinCount="100000" sheet="1" objects="1" scenarios="1"/>
  <mergeCells count="25">
    <mergeCell ref="B22:B25"/>
    <mergeCell ref="C22:C25"/>
    <mergeCell ref="K22:K25"/>
    <mergeCell ref="B18:B21"/>
    <mergeCell ref="C18:C19"/>
    <mergeCell ref="J18:J19"/>
    <mergeCell ref="K18:K21"/>
    <mergeCell ref="C20:C21"/>
    <mergeCell ref="J20:J21"/>
    <mergeCell ref="B2:L2"/>
    <mergeCell ref="D3:I3"/>
    <mergeCell ref="D4:I4"/>
    <mergeCell ref="B6:B12"/>
    <mergeCell ref="C6:C9"/>
    <mergeCell ref="J6:J9"/>
    <mergeCell ref="K6:K12"/>
    <mergeCell ref="L6:L25"/>
    <mergeCell ref="C10:C11"/>
    <mergeCell ref="J10:J11"/>
    <mergeCell ref="B13:B15"/>
    <mergeCell ref="C13:C14"/>
    <mergeCell ref="J13:J14"/>
    <mergeCell ref="K13:K15"/>
    <mergeCell ref="B16:B17"/>
    <mergeCell ref="K16:K17"/>
  </mergeCells>
  <conditionalFormatting sqref="I6:I12">
    <cfRule type="cellIs" dxfId="2" priority="1" operator="lessThan">
      <formula>75</formula>
    </cfRule>
    <cfRule type="cellIs" dxfId="1" priority="2" operator="between">
      <formula>75</formula>
      <formula>94</formula>
    </cfRule>
    <cfRule type="cellIs" dxfId="0" priority="3" operator="greaterThanOrEqual">
      <formula>95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ITCA I</vt:lpstr>
      <vt:lpstr>ITCA II</vt:lpstr>
      <vt:lpstr>ITCA III</vt:lpstr>
      <vt:lpstr>ITCA IV</vt:lpstr>
      <vt:lpstr>IAS</vt:lpstr>
      <vt:lpstr>DESEMPEÑO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Dante Di Liberto Roldan</dc:creator>
  <cp:lastModifiedBy>rodrigo chura</cp:lastModifiedBy>
  <cp:lastPrinted>2023-08-21T19:36:53Z</cp:lastPrinted>
  <dcterms:created xsi:type="dcterms:W3CDTF">2023-08-21T19:01:01Z</dcterms:created>
  <dcterms:modified xsi:type="dcterms:W3CDTF">2026-06-17T16:16:32Z</dcterms:modified>
</cp:coreProperties>
</file>